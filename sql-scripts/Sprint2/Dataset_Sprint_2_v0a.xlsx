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IdeaProjects\sem-pi-25-26-g054\sql-scripts\Sprint2\"/>
    </mc:Choice>
  </mc:AlternateContent>
  <xr:revisionPtr revIDLastSave="0" documentId="13_ncr:1_{656C7BBF-A9E8-49A5-903C-FDA6A70C0674}" xr6:coauthVersionLast="47" xr6:coauthVersionMax="47" xr10:uidLastSave="{00000000-0000-0000-0000-000000000000}"/>
  <bookViews>
    <workbookView xWindow="-110" yWindow="-110" windowWidth="22620" windowHeight="13500" firstSheet="1" activeTab="8" xr2:uid="{7F4AA980-AB96-5943-AE3E-BE2681F30F29}"/>
  </bookViews>
  <sheets>
    <sheet name="Facility" sheetId="1" r:id="rId1"/>
    <sheet name="Line" sheetId="2" r:id="rId2"/>
    <sheet name="Segment" sheetId="3" r:id="rId3"/>
    <sheet name="Owner" sheetId="4" r:id="rId4"/>
    <sheet name="Operator" sheetId="5" r:id="rId5"/>
    <sheet name="Locomotive" sheetId="6" r:id="rId6"/>
    <sheet name="Wagon Model" sheetId="7" r:id="rId7"/>
    <sheet name="Wagon" sheetId="8" r:id="rId8"/>
    <sheet name="Freights" sheetId="9" r:id="rId9"/>
    <sheet name="Train" sheetId="10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10" l="1"/>
  <c r="O33" i="10"/>
  <c r="O32" i="10"/>
  <c r="O31" i="10"/>
  <c r="O30" i="10"/>
  <c r="O29" i="10"/>
  <c r="O28" i="10"/>
  <c r="O27" i="10"/>
  <c r="O26" i="10"/>
  <c r="O25" i="10"/>
  <c r="O24" i="10"/>
  <c r="O23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AG22" i="9"/>
  <c r="AG21" i="9"/>
  <c r="AG20" i="9"/>
  <c r="AG19" i="9"/>
  <c r="AG18" i="9"/>
  <c r="AG17" i="9"/>
  <c r="AG16" i="9"/>
  <c r="AG15" i="9"/>
  <c r="AG14" i="9"/>
  <c r="AG13" i="9"/>
  <c r="AG12" i="9"/>
  <c r="AG11" i="9"/>
  <c r="AG9" i="9"/>
  <c r="AG8" i="9"/>
  <c r="AG7" i="9"/>
  <c r="AG6" i="9"/>
  <c r="AG5" i="9"/>
  <c r="AG4" i="9"/>
  <c r="AG3" i="9"/>
  <c r="AG2" i="9"/>
  <c r="Y24" i="9"/>
  <c r="Y23" i="9"/>
  <c r="Y22" i="9"/>
  <c r="Y21" i="9"/>
  <c r="Y20" i="9"/>
  <c r="Y19" i="9"/>
  <c r="Y17" i="9"/>
  <c r="Y16" i="9"/>
  <c r="Y15" i="9"/>
  <c r="Y14" i="9"/>
  <c r="Y13" i="9"/>
  <c r="Y12" i="9"/>
  <c r="Y11" i="9"/>
  <c r="Y10" i="9"/>
  <c r="Y8" i="9"/>
  <c r="Y7" i="9"/>
  <c r="Y6" i="9"/>
  <c r="Y5" i="9"/>
  <c r="Y4" i="9"/>
  <c r="Y3" i="9"/>
  <c r="Y2" i="9"/>
  <c r="Q24" i="9"/>
  <c r="Q23" i="9"/>
  <c r="Q22" i="9"/>
  <c r="Q21" i="9"/>
  <c r="Q20" i="9"/>
  <c r="Q19" i="9"/>
  <c r="Q18" i="9"/>
  <c r="Q17" i="9"/>
  <c r="Q16" i="9"/>
  <c r="Q15" i="9"/>
  <c r="Q11" i="9"/>
  <c r="Q12" i="9"/>
  <c r="Q13" i="9"/>
  <c r="Q10" i="9"/>
  <c r="Q9" i="9"/>
  <c r="Q8" i="9"/>
  <c r="Q7" i="9"/>
  <c r="Q6" i="9"/>
  <c r="Q5" i="9"/>
  <c r="Q4" i="9"/>
  <c r="Q3" i="9"/>
  <c r="Q2" i="9"/>
  <c r="I18" i="9"/>
  <c r="I17" i="9"/>
  <c r="I16" i="9"/>
  <c r="I15" i="9"/>
  <c r="I14" i="9"/>
  <c r="I13" i="9"/>
  <c r="I12" i="9"/>
  <c r="I11" i="9"/>
  <c r="I9" i="9"/>
  <c r="I8" i="9"/>
  <c r="I7" i="9"/>
  <c r="I6" i="9"/>
  <c r="I5" i="9"/>
  <c r="I4" i="9"/>
  <c r="I3" i="9"/>
  <c r="I2" i="9"/>
  <c r="E32" i="1"/>
  <c r="E31" i="1"/>
  <c r="E30" i="1"/>
  <c r="E29" i="1"/>
  <c r="E28" i="1"/>
  <c r="E27" i="1"/>
  <c r="E26" i="1"/>
  <c r="E25" i="1"/>
  <c r="E24" i="1"/>
  <c r="E21" i="1"/>
  <c r="E20" i="1"/>
  <c r="E19" i="1"/>
  <c r="E18" i="1"/>
  <c r="E17" i="1"/>
  <c r="E16" i="1"/>
  <c r="E14" i="1"/>
  <c r="E13" i="1"/>
  <c r="E12" i="1"/>
  <c r="E11" i="1"/>
  <c r="E10" i="1"/>
  <c r="E9" i="1"/>
  <c r="E8" i="1"/>
  <c r="E7" i="1"/>
  <c r="R12" i="1"/>
  <c r="W16" i="1"/>
  <c r="R16" i="1"/>
  <c r="R17" i="1"/>
  <c r="R18" i="1"/>
  <c r="W18" i="1"/>
  <c r="R21" i="1"/>
  <c r="M21" i="1"/>
  <c r="R24" i="1"/>
  <c r="W25" i="1"/>
  <c r="R26" i="1"/>
  <c r="W32" i="1"/>
  <c r="W29" i="1"/>
  <c r="R29" i="1"/>
  <c r="W30" i="1"/>
  <c r="R30" i="1"/>
  <c r="W28" i="1"/>
  <c r="W11" i="1"/>
  <c r="R10" i="1"/>
  <c r="M10" i="1"/>
  <c r="R8" i="1"/>
  <c r="M7" i="1"/>
  <c r="M32" i="1"/>
  <c r="M31" i="1"/>
  <c r="M30" i="1"/>
  <c r="M29" i="1"/>
  <c r="M26" i="1"/>
  <c r="M23" i="1"/>
  <c r="M22" i="1"/>
  <c r="M14" i="1"/>
  <c r="M18" i="1"/>
  <c r="M16" i="1"/>
  <c r="M4" i="1"/>
  <c r="M3" i="1"/>
  <c r="M2" i="1"/>
  <c r="B20" i="9"/>
  <c r="H45" i="9"/>
  <c r="H44" i="9"/>
  <c r="H43" i="9"/>
  <c r="H42" i="9"/>
  <c r="H41" i="9"/>
  <c r="H40" i="9"/>
  <c r="H38" i="9"/>
  <c r="H37" i="9"/>
  <c r="H36" i="9"/>
  <c r="H35" i="9"/>
  <c r="H34" i="9"/>
  <c r="H32" i="9"/>
  <c r="H31" i="9"/>
  <c r="H30" i="9"/>
  <c r="H28" i="9"/>
  <c r="H27" i="9"/>
  <c r="H25" i="9"/>
  <c r="H24" i="9"/>
  <c r="H23" i="9"/>
  <c r="H22" i="9"/>
  <c r="B33" i="9"/>
  <c r="B31" i="9"/>
  <c r="B30" i="9"/>
  <c r="B26" i="9"/>
  <c r="B28" i="9"/>
  <c r="B25" i="9"/>
  <c r="B24" i="9"/>
  <c r="B23" i="9"/>
  <c r="B22" i="9"/>
  <c r="B19" i="9"/>
  <c r="B18" i="9"/>
  <c r="B17" i="9"/>
  <c r="B16" i="9"/>
  <c r="B15" i="9"/>
  <c r="B14" i="9"/>
  <c r="B13" i="9"/>
  <c r="B12" i="9"/>
  <c r="B7" i="10"/>
  <c r="B8" i="5"/>
  <c r="B7" i="5"/>
  <c r="B21" i="10"/>
  <c r="B20" i="10"/>
  <c r="B18" i="10"/>
  <c r="B17" i="10"/>
  <c r="B16" i="10"/>
  <c r="B13" i="10"/>
  <c r="B12" i="10"/>
  <c r="B14" i="10"/>
  <c r="B11" i="10"/>
  <c r="B9" i="10"/>
  <c r="B8" i="10"/>
  <c r="C26" i="6"/>
  <c r="C36" i="6"/>
  <c r="C37" i="6"/>
  <c r="C38" i="6"/>
  <c r="C39" i="6"/>
  <c r="C40" i="6"/>
  <c r="C35" i="6"/>
  <c r="C41" i="6"/>
  <c r="C42" i="6"/>
  <c r="C32" i="6"/>
  <c r="C33" i="6"/>
  <c r="C31" i="6"/>
  <c r="C30" i="6"/>
  <c r="C29" i="6"/>
  <c r="C27" i="6"/>
  <c r="C28" i="6"/>
  <c r="C24" i="6"/>
  <c r="C23" i="6"/>
  <c r="C22" i="6"/>
  <c r="C20" i="6"/>
  <c r="C19" i="6"/>
  <c r="C18" i="6"/>
  <c r="P10" i="7"/>
  <c r="P8" i="7"/>
  <c r="P3" i="7"/>
  <c r="P4" i="7"/>
  <c r="P5" i="7"/>
  <c r="P6" i="7"/>
  <c r="P7" i="7"/>
  <c r="P9" i="7"/>
  <c r="P11" i="7"/>
  <c r="P2" i="7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44" i="8"/>
  <c r="F34" i="8"/>
  <c r="F35" i="8"/>
  <c r="F36" i="8"/>
  <c r="F37" i="8"/>
  <c r="F38" i="8"/>
  <c r="F39" i="8"/>
  <c r="F40" i="8"/>
  <c r="F41" i="8"/>
  <c r="F42" i="8"/>
  <c r="F33" i="8"/>
  <c r="F29" i="8"/>
  <c r="F30" i="8"/>
  <c r="F31" i="8"/>
  <c r="F32" i="8"/>
  <c r="F28" i="8"/>
  <c r="F23" i="8"/>
  <c r="F24" i="8"/>
  <c r="F25" i="8"/>
  <c r="F26" i="8"/>
  <c r="F27" i="8"/>
  <c r="F22" i="8"/>
  <c r="F19" i="8"/>
  <c r="F20" i="8"/>
  <c r="F21" i="8"/>
  <c r="F18" i="8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B20" i="7"/>
  <c r="B29" i="7"/>
  <c r="B28" i="7"/>
  <c r="B27" i="7"/>
  <c r="B26" i="7"/>
  <c r="B25" i="7"/>
  <c r="B24" i="7"/>
  <c r="B23" i="7"/>
  <c r="B22" i="7"/>
  <c r="B21" i="7"/>
  <c r="C15" i="6"/>
  <c r="C14" i="6"/>
  <c r="B18" i="7"/>
  <c r="B17" i="7"/>
  <c r="B16" i="7"/>
  <c r="B15" i="7"/>
  <c r="B14" i="7"/>
  <c r="C13" i="6"/>
  <c r="C12" i="6"/>
  <c r="C11" i="6"/>
  <c r="K21" i="3"/>
  <c r="K19" i="3"/>
  <c r="K9" i="3"/>
  <c r="K10" i="3"/>
  <c r="K11" i="3"/>
  <c r="K12" i="3"/>
  <c r="K13" i="3"/>
  <c r="K14" i="3"/>
  <c r="K15" i="3"/>
  <c r="K16" i="3"/>
  <c r="K17" i="3"/>
  <c r="K18" i="3"/>
  <c r="K20" i="3"/>
  <c r="K22" i="3"/>
  <c r="K23" i="3"/>
  <c r="K24" i="3"/>
  <c r="K25" i="3"/>
  <c r="K26" i="3"/>
  <c r="K27" i="3"/>
  <c r="K28" i="3"/>
  <c r="K29" i="3"/>
  <c r="K8" i="3"/>
  <c r="K6" i="2"/>
  <c r="K7" i="2"/>
  <c r="K8" i="2"/>
  <c r="K9" i="2"/>
  <c r="K10" i="2"/>
  <c r="K11" i="2"/>
  <c r="K12" i="2"/>
  <c r="K13" i="2"/>
  <c r="K14" i="2"/>
  <c r="K15" i="2"/>
  <c r="K16" i="2"/>
  <c r="K17" i="2"/>
  <c r="K5" i="2"/>
  <c r="B9" i="5"/>
  <c r="K3" i="2"/>
  <c r="K2" i="2"/>
  <c r="K5" i="3"/>
  <c r="K4" i="3"/>
  <c r="K3" i="3"/>
  <c r="E2" i="1"/>
  <c r="E15" i="1"/>
  <c r="E22" i="1"/>
  <c r="E23" i="1"/>
  <c r="E6" i="1"/>
  <c r="E4" i="1"/>
  <c r="E3" i="1"/>
</calcChain>
</file>

<file path=xl/sharedStrings.xml><?xml version="1.0" encoding="utf-8"?>
<sst xmlns="http://schemas.openxmlformats.org/spreadsheetml/2006/main" count="436" uniqueCount="175">
  <si>
    <t>ID</t>
  </si>
  <si>
    <t>Name</t>
  </si>
  <si>
    <t>São Romão</t>
  </si>
  <si>
    <t>Tamel</t>
  </si>
  <si>
    <t>Senhora das Dores</t>
  </si>
  <si>
    <t>Lousado</t>
  </si>
  <si>
    <t>Porto Campanhã</t>
  </si>
  <si>
    <t>Leandro</t>
  </si>
  <si>
    <t>Porto São Bento</t>
  </si>
  <si>
    <t>Barcelos</t>
  </si>
  <si>
    <t>Vila Nova da Cerveira</t>
  </si>
  <si>
    <t>Midões</t>
  </si>
  <si>
    <t>Valença</t>
  </si>
  <si>
    <t>Darque</t>
  </si>
  <si>
    <t>Contumil</t>
  </si>
  <si>
    <t>Ermesinde</t>
  </si>
  <si>
    <t>São Frutuoso</t>
  </si>
  <si>
    <t>São Pedro da Torre</t>
  </si>
  <si>
    <t>Viana do Castelo</t>
  </si>
  <si>
    <t>Famalicão</t>
  </si>
  <si>
    <t>Barroselas</t>
  </si>
  <si>
    <t>Nine</t>
  </si>
  <si>
    <t>Caminha</t>
  </si>
  <si>
    <t>Carvalha</t>
  </si>
  <si>
    <t>Carreço</t>
  </si>
  <si>
    <t>Owner</t>
  </si>
  <si>
    <t>Start</t>
  </si>
  <si>
    <t>End</t>
  </si>
  <si>
    <t>Gauge</t>
  </si>
  <si>
    <t>IP</t>
  </si>
  <si>
    <t>Start ID</t>
  </si>
  <si>
    <t>End ID</t>
  </si>
  <si>
    <t>Ramal São Bento - Campanhã</t>
  </si>
  <si>
    <t>Line</t>
  </si>
  <si>
    <t>Order</t>
  </si>
  <si>
    <t>Electrified</t>
  </si>
  <si>
    <t>Length</t>
  </si>
  <si>
    <t>Yes</t>
  </si>
  <si>
    <t>Max Weight (kg/m)</t>
  </si>
  <si>
    <t>Length (m)</t>
  </si>
  <si>
    <t>Ramal Nine - Barcelos</t>
  </si>
  <si>
    <t>Ramal Caminha - Torre</t>
  </si>
  <si>
    <t>Ramal Torre - Valença</t>
  </si>
  <si>
    <t>Short name</t>
  </si>
  <si>
    <t>VATNumber</t>
  </si>
  <si>
    <t>PT503933813</t>
  </si>
  <si>
    <t>Infraestruturas de Portugal, SA</t>
  </si>
  <si>
    <t>NumberTracks</t>
  </si>
  <si>
    <t>Medway</t>
  </si>
  <si>
    <t>Medway - Operador Ferroviário de Mercadorias, S.A</t>
  </si>
  <si>
    <t>PT509017800</t>
  </si>
  <si>
    <t>Make</t>
  </si>
  <si>
    <t>Model</t>
  </si>
  <si>
    <t>Service</t>
  </si>
  <si>
    <t>Power</t>
  </si>
  <si>
    <t>Width</t>
  </si>
  <si>
    <t>Height</t>
  </si>
  <si>
    <t>Max Speed</t>
  </si>
  <si>
    <t>Type</t>
  </si>
  <si>
    <t>Electric</t>
  </si>
  <si>
    <t>Voltage</t>
  </si>
  <si>
    <t>Operator</t>
  </si>
  <si>
    <t>Bitola</t>
  </si>
  <si>
    <t>Eurosprinter</t>
  </si>
  <si>
    <t>Siemens</t>
  </si>
  <si>
    <t>Frequency</t>
  </si>
  <si>
    <t>Operational Speed</t>
  </si>
  <si>
    <t>Number</t>
  </si>
  <si>
    <t>Inês</t>
  </si>
  <si>
    <t>Paz</t>
  </si>
  <si>
    <t>Helena</t>
  </si>
  <si>
    <t>Diesel</t>
  </si>
  <si>
    <t>Eva</t>
  </si>
  <si>
    <t>Traction (KN)</t>
  </si>
  <si>
    <t>Weight (t)</t>
  </si>
  <si>
    <t>Number Bogies</t>
  </si>
  <si>
    <t>Bogies</t>
  </si>
  <si>
    <t>Co-Co</t>
  </si>
  <si>
    <t>Bo-Bo</t>
  </si>
  <si>
    <t>CP 1900</t>
  </si>
  <si>
    <t>Metalsines</t>
  </si>
  <si>
    <t>Maker</t>
  </si>
  <si>
    <t>Duplo</t>
  </si>
  <si>
    <t>Tadgs 32 94 082 3</t>
  </si>
  <si>
    <t>Payload (t)</t>
  </si>
  <si>
    <t>Volume (m3)</t>
  </si>
  <si>
    <t>Cereal wagon</t>
  </si>
  <si>
    <t>Equimetal</t>
  </si>
  <si>
    <t>Tdgs 41 94 074 1</t>
  </si>
  <si>
    <t>Gabs 81 94 181 1</t>
  </si>
  <si>
    <t>Sepsa Cometna</t>
  </si>
  <si>
    <t>Covered wagon with sliding door</t>
  </si>
  <si>
    <t>Regmms 32 94 356 3</t>
  </si>
  <si>
    <t>Container wagon (max 40'' HC)</t>
  </si>
  <si>
    <t>Service Year</t>
  </si>
  <si>
    <t>Lgs 22 94 441 6</t>
  </si>
  <si>
    <t>Simples</t>
  </si>
  <si>
    <t>Emef</t>
  </si>
  <si>
    <t>Sgnss 12 94 455 2</t>
  </si>
  <si>
    <t>Zaes 81 94 788</t>
  </si>
  <si>
    <t>Biodiesel wagaon</t>
  </si>
  <si>
    <t>Kbs 41 94 333</t>
  </si>
  <si>
    <t>Simmering</t>
  </si>
  <si>
    <t>Wood wagon</t>
  </si>
  <si>
    <t>Captrain Portugal S.A.</t>
  </si>
  <si>
    <t>Captrain</t>
  </si>
  <si>
    <t>PT507832388</t>
  </si>
  <si>
    <t>Fuel (l)</t>
  </si>
  <si>
    <t>Stadler</t>
  </si>
  <si>
    <t>E4000</t>
  </si>
  <si>
    <t>Adriana</t>
  </si>
  <si>
    <t>Marina</t>
  </si>
  <si>
    <t>Ramal Viana - Caminha</t>
  </si>
  <si>
    <t>Ramal Barcelos - Darque</t>
  </si>
  <si>
    <t>Ramal Darque - Viana</t>
  </si>
  <si>
    <t>Ramal Contumil - Nine</t>
  </si>
  <si>
    <t>Ramal Camapanhã - Contumil</t>
  </si>
  <si>
    <t>Leixões</t>
  </si>
  <si>
    <t xml:space="preserve">	São Mamede de Infesta</t>
  </si>
  <si>
    <t>Leça do Balio</t>
  </si>
  <si>
    <t>São Gemil</t>
  </si>
  <si>
    <t>Ramal Contumil - São Gemil</t>
  </si>
  <si>
    <t>Ramal São Mamede de Infesta - Leça do Balio</t>
  </si>
  <si>
    <t>Ramal Leça do Balio - Leixões</t>
  </si>
  <si>
    <t>Siding Position</t>
  </si>
  <si>
    <t>Siding Length</t>
  </si>
  <si>
    <t>Date</t>
  </si>
  <si>
    <t>Origin</t>
  </si>
  <si>
    <t>Destination</t>
  </si>
  <si>
    <t>Facility</t>
  </si>
  <si>
    <t>Wagon(s)</t>
  </si>
  <si>
    <t>Time</t>
  </si>
  <si>
    <t>2001, 2002, 2003, 2004, 2005</t>
  </si>
  <si>
    <t>2050, 2051</t>
  </si>
  <si>
    <t>Locomotive</t>
  </si>
  <si>
    <t>Freight</t>
  </si>
  <si>
    <t>5621, 5623</t>
  </si>
  <si>
    <t>Path</t>
  </si>
  <si>
    <t>50, 48, 45, 43, 13, 20, 8, 12, 17, 21, 16, 11</t>
  </si>
  <si>
    <t>11, 16, 21, 17, 12, 8, 20, 13, 43, 45, 48, 50</t>
  </si>
  <si>
    <t>São Mamede de Infesta</t>
  </si>
  <si>
    <t>Ramal São Gemil - São Mamede de Infesta</t>
  </si>
  <si>
    <t>26.2</t>
  </si>
  <si>
    <t>50.2</t>
  </si>
  <si>
    <t>60.6</t>
  </si>
  <si>
    <t>28.1</t>
  </si>
  <si>
    <t>68.4</t>
  </si>
  <si>
    <t>57.1</t>
  </si>
  <si>
    <t>25.8</t>
  </si>
  <si>
    <t>76.3</t>
  </si>
  <si>
    <t>64.6</t>
  </si>
  <si>
    <t>62.7</t>
  </si>
  <si>
    <t>13.8</t>
  </si>
  <si>
    <t>29.8</t>
  </si>
  <si>
    <t>21.2</t>
  </si>
  <si>
    <t>11.9</t>
  </si>
  <si>
    <t>21.6</t>
  </si>
  <si>
    <t>22.9</t>
  </si>
  <si>
    <t>14.2</t>
  </si>
  <si>
    <t>4165.5</t>
  </si>
  <si>
    <t>19.084</t>
  </si>
  <si>
    <t>23.02</t>
  </si>
  <si>
    <t>4.375</t>
  </si>
  <si>
    <t>4.31</t>
  </si>
  <si>
    <t>4.264</t>
  </si>
  <si>
    <t>19.2</t>
  </si>
  <si>
    <t>Sorefame - Alsthom</t>
  </si>
  <si>
    <t>3.062</t>
  </si>
  <si>
    <t>42.5</t>
  </si>
  <si>
    <t>3330001, 3330002, 3330004, 3330005, 3330006</t>
  </si>
  <si>
    <t>1811011, 1811012</t>
  </si>
  <si>
    <t>3563077, 3563078, 3563079, 3563080</t>
  </si>
  <si>
    <t>3330003, 3330007</t>
  </si>
  <si>
    <t>3563090, 3563091, 3563092</t>
  </si>
  <si>
    <t>1811011, 1811012, 3563077, 3563078, 3563079, 3563080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</si>
</sst>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dd\-mm\-yyyy;@"/>
  </numFmts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20" fontId="0" fillId="0" borderId="0" xfId="0" applyNumberFormat="1"/>
    <xf numFmtId="0" fontId="3" fillId="0" borderId="0" xfId="0" applyFon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fael\IdeaProjects\sem-pi-25-26-g054\sql-scripts\Dataset_Sprint_1_%20com%20inserts.xlsx" TargetMode="External"/><Relationship Id="rId1" Type="http://schemas.openxmlformats.org/officeDocument/2006/relationships/externalLinkPath" Target="/Users/Rafael/IdeaProjects/sem-pi-25-26-g054/sql-scripts/Dataset_Sprint_1_%20com%20inse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ility"/>
      <sheetName val="Line"/>
      <sheetName val="Segment"/>
      <sheetName val="Owner"/>
      <sheetName val="Operator"/>
      <sheetName val="Locomotive"/>
      <sheetName val="Wagon Model"/>
      <sheetName val="Wagon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N8">
            <v>1435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9BB5-1866-604F-9CDF-A9F9C66D7CCC}">
  <dimension ref="A1:W32"/>
  <sheetViews>
    <sheetView topLeftCell="C1" zoomScale="70" workbookViewId="0">
      <selection activeCell="N34" sqref="N34"/>
    </sheetView>
  </sheetViews>
  <sheetFormatPr defaultColWidth="10.6640625" defaultRowHeight="16" x14ac:dyDescent="0.4"/>
  <cols>
    <col min="2" max="2" width="18.5" bestFit="1" customWidth="1"/>
  </cols>
  <sheetData>
    <row r="1" spans="1:23" x14ac:dyDescent="0.4">
      <c r="A1" t="s">
        <v>0</v>
      </c>
      <c r="B1" t="s">
        <v>1</v>
      </c>
    </row>
    <row r="2" spans="1:23" x14ac:dyDescent="0.4">
      <c r="A2">
        <v>1</v>
      </c>
      <c r="B2" t="s">
        <v>2</v>
      </c>
      <c r="E2" t="str">
        <f>"INSERT INTO StationType (id, description) VALUES (1, 'Freight yards');"</f>
        <v>INSERT INTO StationType (id, description) VALUES (1, 'Freight yards');</v>
      </c>
      <c r="M2" t="str">
        <f>"INSERT INTO AreaType (id, name) VALUES (1, 'warehouse');"</f>
        <v>INSERT INTO AreaType (id, name) VALUES (1, 'warehouse');</v>
      </c>
    </row>
    <row r="3" spans="1:23" x14ac:dyDescent="0.4">
      <c r="A3">
        <v>2</v>
      </c>
      <c r="B3" t="s">
        <v>3</v>
      </c>
      <c r="E3" t="str">
        <f>"INSERT INTO StationType (id, description) VALUES (2, 'Stations');"</f>
        <v>INSERT INTO StationType (id, description) VALUES (2, 'Stations');</v>
      </c>
      <c r="M3" t="str">
        <f>"INSERT INTO AreaType (id, name) VALUES (2, 'refrigerated area');"</f>
        <v>INSERT INTO AreaType (id, name) VALUES (2, 'refrigerated area');</v>
      </c>
    </row>
    <row r="4" spans="1:23" x14ac:dyDescent="0.4">
      <c r="A4">
        <v>3</v>
      </c>
      <c r="B4" t="s">
        <v>4</v>
      </c>
      <c r="E4" t="str">
        <f>"INSERT INTO StationType (id, description) VALUES (3, 'Terminals');"</f>
        <v>INSERT INTO StationType (id, description) VALUES (3, 'Terminals');</v>
      </c>
      <c r="M4" t="str">
        <f>"INSERT INTO AreaType (id, name) VALUES (3, 'grain silo');"</f>
        <v>INSERT INTO AreaType (id, name) VALUES (3, 'grain silo');</v>
      </c>
    </row>
    <row r="5" spans="1:23" x14ac:dyDescent="0.4">
      <c r="A5">
        <v>4</v>
      </c>
      <c r="B5" t="s">
        <v>5</v>
      </c>
    </row>
    <row r="6" spans="1:23" x14ac:dyDescent="0.4">
      <c r="A6">
        <v>5</v>
      </c>
      <c r="B6" t="s">
        <v>6</v>
      </c>
      <c r="E6" t="str">
        <f>"INSERT INTO Station (idStation, nameStation, stationTypeId) VALUES ("&amp;A2&amp;", '"&amp;B2&amp;"',1);"</f>
        <v>INSERT INTO Station (idStation, nameStation, stationTypeId) VALUES (1, 'São Romão',1);</v>
      </c>
    </row>
    <row r="7" spans="1:23" x14ac:dyDescent="0.4">
      <c r="A7">
        <v>6</v>
      </c>
      <c r="B7" t="s">
        <v>7</v>
      </c>
      <c r="E7" t="str">
        <f>"INSERT INTO Station (idStation, nameStation, stationTypeId) VALUES ("&amp;A3&amp;", '"&amp;B3&amp;"',2);"</f>
        <v>INSERT INTO Station (idStation, nameStation, stationTypeId) VALUES (2, 'Tamel',2);</v>
      </c>
      <c r="M7" t="str">
        <f>"INSERT INTO AreaTypeStation (areaId, stationId) VALUES (1,2);"</f>
        <v>INSERT INTO AreaTypeStation (areaId, stationId) VALUES (1,2);</v>
      </c>
    </row>
    <row r="8" spans="1:23" x14ac:dyDescent="0.4">
      <c r="A8">
        <v>7</v>
      </c>
      <c r="B8" t="s">
        <v>8</v>
      </c>
      <c r="E8" t="str">
        <f>"INSERT INTO Station (idStation, nameStation, stationTypeId) VALUES ("&amp;A4&amp;", '"&amp;B4&amp;"',3);"</f>
        <v>INSERT INTO Station (idStation, nameStation, stationTypeId) VALUES (3, 'Senhora das Dores',3);</v>
      </c>
      <c r="R8" t="str">
        <f>"INSERT INTO AreaTypeStation (areaId, stationId) VALUES (2,3);"</f>
        <v>INSERT INTO AreaTypeStation (areaId, stationId) VALUES (2,3);</v>
      </c>
    </row>
    <row r="9" spans="1:23" x14ac:dyDescent="0.4">
      <c r="A9">
        <v>8</v>
      </c>
      <c r="B9" t="s">
        <v>9</v>
      </c>
      <c r="E9" t="str">
        <f>"INSERT INTO Station (idStation, nameStation, stationTypeId) VALUES ("&amp;A5&amp;", '"&amp;B5&amp;"',1);"</f>
        <v>INSERT INTO Station (idStation, nameStation, stationTypeId) VALUES (4, 'Lousado',1);</v>
      </c>
    </row>
    <row r="10" spans="1:23" x14ac:dyDescent="0.4">
      <c r="A10">
        <v>9</v>
      </c>
      <c r="B10" t="s">
        <v>10</v>
      </c>
      <c r="E10" t="str">
        <f>"INSERT INTO Station (idStation, nameStation, stationTypeId) VALUES ("&amp;A6&amp;", '"&amp;B6&amp;"',2);"</f>
        <v>INSERT INTO Station (idStation, nameStation, stationTypeId) VALUES (5, 'Porto Campanhã',2);</v>
      </c>
      <c r="M10" t="str">
        <f>"INSERT INTO AreaTypeStation (areaId, stationId) VALUES (1,5);"</f>
        <v>INSERT INTO AreaTypeStation (areaId, stationId) VALUES (1,5);</v>
      </c>
      <c r="R10" t="str">
        <f>"INSERT INTO AreaTypeStation (areaId, stationId) VALUES (2,5);"</f>
        <v>INSERT INTO AreaTypeStation (areaId, stationId) VALUES (2,5);</v>
      </c>
    </row>
    <row r="11" spans="1:23" x14ac:dyDescent="0.4">
      <c r="A11">
        <v>10</v>
      </c>
      <c r="B11" t="s">
        <v>11</v>
      </c>
      <c r="E11" t="str">
        <f>"INSERT INTO Station (idStation, nameStation, stationTypeId) VALUES ("&amp;A7&amp;", '"&amp;B7&amp;"',3);"</f>
        <v>INSERT INTO Station (idStation, nameStation, stationTypeId) VALUES (6, 'Leandro',3);</v>
      </c>
      <c r="W11" t="str">
        <f>"INSERT INTO AreaTypeStation (areaId, stationId) VALUES (3,6);"</f>
        <v>INSERT INTO AreaTypeStation (areaId, stationId) VALUES (3,6);</v>
      </c>
    </row>
    <row r="12" spans="1:23" x14ac:dyDescent="0.4">
      <c r="A12">
        <v>11</v>
      </c>
      <c r="B12" t="s">
        <v>12</v>
      </c>
      <c r="E12" t="str">
        <f>"INSERT INTO Station (idStation, nameStation, stationTypeId) VALUES ("&amp;A8&amp;", '"&amp;B8&amp;"',2);"</f>
        <v>INSERT INTO Station (idStation, nameStation, stationTypeId) VALUES (7, 'Porto São Bento',2);</v>
      </c>
      <c r="R12" t="str">
        <f>"INSERT INTO AreaTypeStation (areaId, stationId) VALUES (2,7);"</f>
        <v>INSERT INTO AreaTypeStation (areaId, stationId) VALUES (2,7);</v>
      </c>
    </row>
    <row r="13" spans="1:23" x14ac:dyDescent="0.4">
      <c r="A13">
        <v>12</v>
      </c>
      <c r="B13" t="s">
        <v>13</v>
      </c>
      <c r="E13" t="str">
        <f>"INSERT INTO Station (idStation, nameStation, stationTypeId) VALUES ("&amp;A9&amp;", '"&amp;B9&amp;"',3);"</f>
        <v>INSERT INTO Station (idStation, nameStation, stationTypeId) VALUES (8, 'Barcelos',3);</v>
      </c>
    </row>
    <row r="14" spans="1:23" x14ac:dyDescent="0.4">
      <c r="A14">
        <v>13</v>
      </c>
      <c r="B14" t="s">
        <v>14</v>
      </c>
      <c r="E14" t="str">
        <f>"INSERT INTO Station (idStation, nameStation, stationTypeId) VALUES ("&amp;A10&amp;", '"&amp;B10&amp;"',3);"</f>
        <v>INSERT INTO Station (idStation, nameStation, stationTypeId) VALUES (9, 'Vila Nova da Cerveira',3);</v>
      </c>
      <c r="M14" t="str">
        <f>"INSERT INTO AreaTypeStation (areaId, stationId) VALUES (1,9);"</f>
        <v>INSERT INTO AreaTypeStation (areaId, stationId) VALUES (1,9);</v>
      </c>
    </row>
    <row r="15" spans="1:23" x14ac:dyDescent="0.4">
      <c r="A15">
        <v>14</v>
      </c>
      <c r="B15" t="s">
        <v>15</v>
      </c>
      <c r="E15" t="str">
        <f t="shared" ref="E15:E23" si="0">"INSERT INTO Station (idStation, nameStation, stationTypeId) VALUES ("&amp;A11&amp;", '"&amp;B11&amp;"',1);"</f>
        <v>INSERT INTO Station (idStation, nameStation, stationTypeId) VALUES (10, 'Midões',1);</v>
      </c>
    </row>
    <row r="16" spans="1:23" x14ac:dyDescent="0.4">
      <c r="A16">
        <v>15</v>
      </c>
      <c r="B16" t="s">
        <v>16</v>
      </c>
      <c r="E16" t="str">
        <f>"INSERT INTO Station (idStation, nameStation, stationTypeId) VALUES ("&amp;A12&amp;", '"&amp;B12&amp;"',1);"</f>
        <v>INSERT INTO Station (idStation, nameStation, stationTypeId) VALUES (11, 'Valença',1);</v>
      </c>
      <c r="M16" t="str">
        <f>"INSERT INTO AreaTypeStation (areaId, stationId) VALUES (1,11);"</f>
        <v>INSERT INTO AreaTypeStation (areaId, stationId) VALUES (1,11);</v>
      </c>
      <c r="R16" t="str">
        <f>"INSERT INTO AreaTypeStation (areaId, stationId) VALUES (2,11);"</f>
        <v>INSERT INTO AreaTypeStation (areaId, stationId) VALUES (2,11);</v>
      </c>
      <c r="W16" t="str">
        <f>"INSERT INTO AreaTypeStation (areaId, stationId) VALUES (3,11);"</f>
        <v>INSERT INTO AreaTypeStation (areaId, stationId) VALUES (3,11);</v>
      </c>
    </row>
    <row r="17" spans="1:23" x14ac:dyDescent="0.4">
      <c r="A17">
        <v>16</v>
      </c>
      <c r="B17" t="s">
        <v>17</v>
      </c>
      <c r="E17" t="str">
        <f>"INSERT INTO Station (idStation, nameStation, stationTypeId) VALUES ("&amp;A13&amp;", '"&amp;B13&amp;"',2);"</f>
        <v>INSERT INTO Station (idStation, nameStation, stationTypeId) VALUES (12, 'Darque',2);</v>
      </c>
      <c r="R17" t="str">
        <f>"INSERT INTO AreaTypeStation (areaId, stationId) VALUES (2,12);"</f>
        <v>INSERT INTO AreaTypeStation (areaId, stationId) VALUES (2,12);</v>
      </c>
    </row>
    <row r="18" spans="1:23" x14ac:dyDescent="0.4">
      <c r="A18">
        <v>17</v>
      </c>
      <c r="B18" t="s">
        <v>18</v>
      </c>
      <c r="E18" t="str">
        <f>"INSERT INTO Station (idStation, nameStation, stationTypeId) VALUES ("&amp;A14&amp;", '"&amp;B14&amp;"',3);"</f>
        <v>INSERT INTO Station (idStation, nameStation, stationTypeId) VALUES (13, 'Contumil',3);</v>
      </c>
      <c r="M18" t="str">
        <f>"INSERT INTO AreaTypeStation (areaId, stationId) VALUES (1,13);"</f>
        <v>INSERT INTO AreaTypeStation (areaId, stationId) VALUES (1,13);</v>
      </c>
      <c r="R18" t="str">
        <f>"INSERT INTO AreaTypeStation (areaId, stationId) VALUES (2,13);"</f>
        <v>INSERT INTO AreaTypeStation (areaId, stationId) VALUES (2,13);</v>
      </c>
      <c r="W18" t="str">
        <f>"INSERT INTO AreaTypeStation (areaId, stationId) VALUES (3,13);"</f>
        <v>INSERT INTO AreaTypeStation (areaId, stationId) VALUES (3,13);</v>
      </c>
    </row>
    <row r="19" spans="1:23" x14ac:dyDescent="0.4">
      <c r="A19">
        <v>18</v>
      </c>
      <c r="B19" t="s">
        <v>19</v>
      </c>
      <c r="E19" t="str">
        <f>"INSERT INTO Station (idStation, nameStation, stationTypeId) VALUES ("&amp;A15&amp;", '"&amp;B15&amp;"',1);"</f>
        <v>INSERT INTO Station (idStation, nameStation, stationTypeId) VALUES (14, 'Ermesinde',1);</v>
      </c>
    </row>
    <row r="20" spans="1:23" x14ac:dyDescent="0.4">
      <c r="A20">
        <v>19</v>
      </c>
      <c r="B20" t="s">
        <v>20</v>
      </c>
      <c r="E20" t="str">
        <f>"INSERT INTO Station (idStation, nameStation, stationTypeId) VALUES ("&amp;A16&amp;", '"&amp;B16&amp;"',2);"</f>
        <v>INSERT INTO Station (idStation, nameStation, stationTypeId) VALUES (15, 'São Frutuoso',2);</v>
      </c>
    </row>
    <row r="21" spans="1:23" x14ac:dyDescent="0.4">
      <c r="A21">
        <v>20</v>
      </c>
      <c r="B21" t="s">
        <v>21</v>
      </c>
      <c r="E21" t="str">
        <f>"INSERT INTO Station (idStation, nameStation, stationTypeId) VALUES ("&amp;A17&amp;", '"&amp;B17&amp;"',3);"</f>
        <v>INSERT INTO Station (idStation, nameStation, stationTypeId) VALUES (16, 'São Pedro da Torre',3);</v>
      </c>
      <c r="M21" t="str">
        <f>"INSERT INTO AreaTypeStation (areaId, stationId) VALUES (1,16);"</f>
        <v>INSERT INTO AreaTypeStation (areaId, stationId) VALUES (1,16);</v>
      </c>
      <c r="R21" t="str">
        <f>"INSERT INTO AreaTypeStation (areaId, stationId) VALUES (2,16);"</f>
        <v>INSERT INTO AreaTypeStation (areaId, stationId) VALUES (2,16);</v>
      </c>
    </row>
    <row r="22" spans="1:23" x14ac:dyDescent="0.4">
      <c r="A22">
        <v>21</v>
      </c>
      <c r="B22" t="s">
        <v>22</v>
      </c>
      <c r="E22" t="str">
        <f t="shared" si="0"/>
        <v>INSERT INTO Station (idStation, nameStation, stationTypeId) VALUES (17, 'Viana do Castelo',1);</v>
      </c>
      <c r="M22" t="str">
        <f>"INSERT INTO AreaTypeStation (areaId, stationId) VALUES (1,17);"</f>
        <v>INSERT INTO AreaTypeStation (areaId, stationId) VALUES (1,17);</v>
      </c>
    </row>
    <row r="23" spans="1:23" x14ac:dyDescent="0.4">
      <c r="A23">
        <v>22</v>
      </c>
      <c r="B23" t="s">
        <v>23</v>
      </c>
      <c r="E23" t="str">
        <f t="shared" si="0"/>
        <v>INSERT INTO Station (idStation, nameStation, stationTypeId) VALUES (18, 'Famalicão',1);</v>
      </c>
      <c r="M23" t="str">
        <f>"INSERT INTO AreaTypeStation (areaId, stationId) VALUES (1,18);"</f>
        <v>INSERT INTO AreaTypeStation (areaId, stationId) VALUES (1,18);</v>
      </c>
    </row>
    <row r="24" spans="1:23" x14ac:dyDescent="0.4">
      <c r="A24">
        <v>23</v>
      </c>
      <c r="B24" t="s">
        <v>24</v>
      </c>
      <c r="E24" t="str">
        <f>"INSERT INTO Station (idStation, nameStation, stationTypeId) VALUES ("&amp;A20&amp;", '"&amp;B20&amp;"',2);"</f>
        <v>INSERT INTO Station (idStation, nameStation, stationTypeId) VALUES (19, 'Barroselas',2);</v>
      </c>
      <c r="R24" t="str">
        <f>"INSERT INTO AreaTypeStation (areaId, stationId) VALUES (2,19);"</f>
        <v>INSERT INTO AreaTypeStation (areaId, stationId) VALUES (2,19);</v>
      </c>
    </row>
    <row r="25" spans="1:23" x14ac:dyDescent="0.4">
      <c r="A25">
        <v>50</v>
      </c>
      <c r="B25" t="s">
        <v>117</v>
      </c>
      <c r="E25" t="str">
        <f>"INSERT INTO Station (idStation, nameStation, stationTypeId) VALUES ("&amp;A21&amp;", '"&amp;B21&amp;"',2);"</f>
        <v>INSERT INTO Station (idStation, nameStation, stationTypeId) VALUES (20, 'Nine',2);</v>
      </c>
      <c r="W25" t="str">
        <f>"INSERT INTO AreaTypeStation (areaId, stationId) VALUES (3,20);"</f>
        <v>INSERT INTO AreaTypeStation (areaId, stationId) VALUES (3,20);</v>
      </c>
    </row>
    <row r="26" spans="1:23" x14ac:dyDescent="0.4">
      <c r="A26">
        <v>45</v>
      </c>
      <c r="B26" t="s">
        <v>140</v>
      </c>
      <c r="E26" t="str">
        <f>"INSERT INTO Station (idStation, nameStation, stationTypeId) VALUES ("&amp;A22&amp;", '"&amp;B22&amp;"',3);"</f>
        <v>INSERT INTO Station (idStation, nameStation, stationTypeId) VALUES (21, 'Caminha',3);</v>
      </c>
      <c r="M26" t="str">
        <f>"INSERT INTO AreaTypeStation (areaId, stationId) VALUES (1,21);"</f>
        <v>INSERT INTO AreaTypeStation (areaId, stationId) VALUES (1,21);</v>
      </c>
      <c r="R26" t="str">
        <f>"INSERT INTO AreaTypeStation (areaId, stationId) VALUES (2,21);"</f>
        <v>INSERT INTO AreaTypeStation (areaId, stationId) VALUES (2,21);</v>
      </c>
    </row>
    <row r="27" spans="1:23" x14ac:dyDescent="0.4">
      <c r="A27">
        <v>48</v>
      </c>
      <c r="B27" t="s">
        <v>119</v>
      </c>
      <c r="E27" t="str">
        <f>"INSERT INTO Station (idStation, nameStation, stationTypeId) VALUES ("&amp;A23&amp;", '"&amp;B23&amp;"',3);"</f>
        <v>INSERT INTO Station (idStation, nameStation, stationTypeId) VALUES (22, 'Carvalha',3);</v>
      </c>
    </row>
    <row r="28" spans="1:23" x14ac:dyDescent="0.4">
      <c r="A28">
        <v>43</v>
      </c>
      <c r="B28" t="s">
        <v>120</v>
      </c>
      <c r="E28" t="str">
        <f>"INSERT INTO Station (idStation, nameStation, stationTypeId) VALUES ("&amp;A24&amp;", '"&amp;B24&amp;"',1);"</f>
        <v>INSERT INTO Station (idStation, nameStation, stationTypeId) VALUES (23, 'Carreço',1);</v>
      </c>
      <c r="W28" t="str">
        <f>"INSERT INTO AreaTypeStation (areaId, stationId) VALUES (3,23);"</f>
        <v>INSERT INTO AreaTypeStation (areaId, stationId) VALUES (3,23);</v>
      </c>
    </row>
    <row r="29" spans="1:23" x14ac:dyDescent="0.4">
      <c r="E29" t="str">
        <f>"INSERT INTO Station (idStation, nameStation, stationTypeId) VALUES ("&amp;A25&amp;", '"&amp;B25&amp;"',2);"</f>
        <v>INSERT INTO Station (idStation, nameStation, stationTypeId) VALUES (50, 'Leixões',2);</v>
      </c>
      <c r="M29" t="str">
        <f>"INSERT INTO AreaTypeStation (areaId, stationId) VALUES (1,50);"</f>
        <v>INSERT INTO AreaTypeStation (areaId, stationId) VALUES (1,50);</v>
      </c>
      <c r="R29" t="str">
        <f>"INSERT INTO AreaTypeStation (areaId, stationId) VALUES (2,50);"</f>
        <v>INSERT INTO AreaTypeStation (areaId, stationId) VALUES (2,50);</v>
      </c>
      <c r="W29" t="str">
        <f>"INSERT INTO AreaTypeStation (areaId, stationId) VALUES (3,50);"</f>
        <v>INSERT INTO AreaTypeStation (areaId, stationId) VALUES (3,50);</v>
      </c>
    </row>
    <row r="30" spans="1:23" x14ac:dyDescent="0.4">
      <c r="E30" t="str">
        <f>"INSERT INTO Station (idStation, nameStation, stationTypeId) VALUES ("&amp;A26&amp;", '"&amp;B26&amp;"',3);"</f>
        <v>INSERT INTO Station (idStation, nameStation, stationTypeId) VALUES (45, 'São Mamede de Infesta',3);</v>
      </c>
      <c r="M30" t="str">
        <f>"INSERT INTO AreaTypeStation (areaId, stationId) VALUES (1,45);"</f>
        <v>INSERT INTO AreaTypeStation (areaId, stationId) VALUES (1,45);</v>
      </c>
      <c r="R30" t="str">
        <f>"INSERT INTO AreaTypeStation (areaId, stationId) VALUES (2,45);"</f>
        <v>INSERT INTO AreaTypeStation (areaId, stationId) VALUES (2,45);</v>
      </c>
      <c r="W30" t="str">
        <f>"INSERT INTO AreaTypeStation (areaId, stationId) VALUES (3,45);"</f>
        <v>INSERT INTO AreaTypeStation (areaId, stationId) VALUES (3,45);</v>
      </c>
    </row>
    <row r="31" spans="1:23" x14ac:dyDescent="0.4">
      <c r="E31" t="str">
        <f>"INSERT INTO Station (idStation, nameStation, stationTypeId) VALUES ("&amp;A27&amp;", '"&amp;B27&amp;"',2);"</f>
        <v>INSERT INTO Station (idStation, nameStation, stationTypeId) VALUES (48, 'Leça do Balio',2);</v>
      </c>
      <c r="M31" t="str">
        <f>"INSERT INTO AreaTypeStation (areaId, stationId) VALUES (1,48);"</f>
        <v>INSERT INTO AreaTypeStation (areaId, stationId) VALUES (1,48);</v>
      </c>
    </row>
    <row r="32" spans="1:23" x14ac:dyDescent="0.4">
      <c r="E32" t="str">
        <f>"INSERT INTO Station (idStation, nameStation, stationTypeId) VALUES ("&amp;A28&amp;", '"&amp;B28&amp;"',1);"</f>
        <v>INSERT INTO Station (idStation, nameStation, stationTypeId) VALUES (43, 'São Gemil',1);</v>
      </c>
      <c r="M32" t="str">
        <f>"INSERT INTO AreaTypeStation (areaId, stationId) VALUES (1,43);"</f>
        <v>INSERT INTO AreaTypeStation (areaId, stationId) VALUES (1,43);</v>
      </c>
      <c r="W32" t="str">
        <f>"INSERT INTO AreaTypeStation (areaId, stationId) VALUES (3,43);"</f>
        <v>INSERT INTO AreaTypeStation (areaId, stationId) VALUES (3,43);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C65E-8CA7-234E-99D7-0088759A11AB}">
  <dimension ref="A1:K17"/>
  <sheetViews>
    <sheetView zoomScale="63" zoomScaleNormal="120" workbookViewId="0">
      <selection activeCell="K3" sqref="K3"/>
    </sheetView>
  </sheetViews>
  <sheetFormatPr defaultColWidth="10.6640625" defaultRowHeight="16" x14ac:dyDescent="0.4"/>
  <cols>
    <col min="1" max="1" width="8.5" customWidth="1"/>
    <col min="2" max="2" width="38" bestFit="1" customWidth="1"/>
    <col min="4" max="4" width="7.33203125" bestFit="1" customWidth="1"/>
    <col min="5" max="5" width="19.6640625" customWidth="1"/>
    <col min="6" max="6" width="6.33203125" bestFit="1" customWidth="1"/>
    <col min="7" max="7" width="20.33203125" bestFit="1" customWidth="1"/>
  </cols>
  <sheetData>
    <row r="1" spans="1:11" x14ac:dyDescent="0.4">
      <c r="A1" t="s">
        <v>0</v>
      </c>
      <c r="B1" t="s">
        <v>1</v>
      </c>
      <c r="C1" t="s">
        <v>25</v>
      </c>
      <c r="D1" t="s">
        <v>30</v>
      </c>
      <c r="E1" t="s">
        <v>26</v>
      </c>
      <c r="F1" t="s">
        <v>31</v>
      </c>
      <c r="G1" t="s">
        <v>27</v>
      </c>
      <c r="H1" t="s">
        <v>28</v>
      </c>
    </row>
    <row r="2" spans="1:11" x14ac:dyDescent="0.4">
      <c r="A2">
        <v>1</v>
      </c>
      <c r="B2" t="s">
        <v>32</v>
      </c>
      <c r="C2" t="s">
        <v>29</v>
      </c>
      <c r="D2">
        <v>7</v>
      </c>
      <c r="E2" t="s">
        <v>8</v>
      </c>
      <c r="F2">
        <v>5</v>
      </c>
      <c r="G2" t="s">
        <v>6</v>
      </c>
      <c r="H2">
        <v>1668</v>
      </c>
      <c r="K2" t="str">
        <f>"INSERT INTO Gauge (idGauge, measure) VALUES (1,'"&amp;H3&amp;"');"</f>
        <v>INSERT INTO Gauge (idGauge, measure) VALUES (1,'1668');</v>
      </c>
    </row>
    <row r="3" spans="1:11" x14ac:dyDescent="0.4">
      <c r="A3">
        <v>2</v>
      </c>
      <c r="B3" t="s">
        <v>116</v>
      </c>
      <c r="C3" t="s">
        <v>29</v>
      </c>
      <c r="D3">
        <v>5</v>
      </c>
      <c r="E3" t="s">
        <v>6</v>
      </c>
      <c r="F3">
        <v>13</v>
      </c>
      <c r="G3" t="s">
        <v>14</v>
      </c>
      <c r="H3">
        <v>1668</v>
      </c>
      <c r="K3" t="str">
        <f>"INSERT INTO Gauge (idGauge, measure) VALUES (2,'"&amp;'[1]Wagon Model'!N8&amp;"');"</f>
        <v>INSERT INTO Gauge (idGauge, measure) VALUES (2,'1435');</v>
      </c>
    </row>
    <row r="4" spans="1:11" x14ac:dyDescent="0.4">
      <c r="A4">
        <v>3</v>
      </c>
      <c r="B4" t="s">
        <v>115</v>
      </c>
      <c r="C4" t="s">
        <v>29</v>
      </c>
      <c r="D4">
        <v>13</v>
      </c>
      <c r="E4" t="s">
        <v>14</v>
      </c>
      <c r="F4">
        <v>20</v>
      </c>
      <c r="G4" t="s">
        <v>21</v>
      </c>
      <c r="H4">
        <v>1668</v>
      </c>
    </row>
    <row r="5" spans="1:11" x14ac:dyDescent="0.4">
      <c r="A5">
        <v>4</v>
      </c>
      <c r="B5" t="s">
        <v>40</v>
      </c>
      <c r="C5" t="s">
        <v>29</v>
      </c>
      <c r="D5">
        <v>20</v>
      </c>
      <c r="E5" t="s">
        <v>21</v>
      </c>
      <c r="F5">
        <v>8</v>
      </c>
      <c r="G5" t="s">
        <v>9</v>
      </c>
      <c r="H5">
        <v>1668</v>
      </c>
      <c r="K5" s="4" t="str">
        <f>"INSERT INTO Line (id, nameLine, ownerLine, startStation, endStation, gaugeId) VALUES ("&amp;A2&amp;",'"&amp;B2&amp;"','PT503933813',"&amp;D2&amp;","&amp;F2&amp;",1);"</f>
        <v>INSERT INTO Line (id, nameLine, ownerLine, startStation, endStation, gaugeId) VALUES (1,'Ramal São Bento - Campanhã','PT503933813',7,5,1);</v>
      </c>
    </row>
    <row r="6" spans="1:11" x14ac:dyDescent="0.4">
      <c r="A6">
        <v>5</v>
      </c>
      <c r="B6" t="s">
        <v>113</v>
      </c>
      <c r="C6" t="s">
        <v>29</v>
      </c>
      <c r="D6">
        <v>8</v>
      </c>
      <c r="E6" t="s">
        <v>9</v>
      </c>
      <c r="F6">
        <v>12</v>
      </c>
      <c r="G6" t="s">
        <v>13</v>
      </c>
      <c r="H6">
        <v>1668</v>
      </c>
      <c r="K6" s="4" t="str">
        <f t="shared" ref="K6:K17" si="0">"INSERT INTO Line (id, nameLine, ownerLine, startStation, endStation, gaugeId) VALUES ("&amp;A3&amp;",'"&amp;B3&amp;"','PT503933813',"&amp;D3&amp;","&amp;F3&amp;",1);"</f>
        <v>INSERT INTO Line (id, nameLine, ownerLine, startStation, endStation, gaugeId) VALUES (2,'Ramal Camapanhã - Contumil','PT503933813',5,13,1);</v>
      </c>
    </row>
    <row r="7" spans="1:11" x14ac:dyDescent="0.4">
      <c r="A7">
        <v>6</v>
      </c>
      <c r="B7" t="s">
        <v>114</v>
      </c>
      <c r="C7" t="s">
        <v>29</v>
      </c>
      <c r="D7">
        <v>12</v>
      </c>
      <c r="E7" t="s">
        <v>13</v>
      </c>
      <c r="F7">
        <v>17</v>
      </c>
      <c r="G7" t="s">
        <v>18</v>
      </c>
      <c r="H7">
        <v>1668</v>
      </c>
      <c r="K7" s="4" t="str">
        <f t="shared" si="0"/>
        <v>INSERT INTO Line (id, nameLine, ownerLine, startStation, endStation, gaugeId) VALUES (3,'Ramal Contumil - Nine','PT503933813',13,20,1);</v>
      </c>
    </row>
    <row r="8" spans="1:11" x14ac:dyDescent="0.4">
      <c r="A8">
        <v>7</v>
      </c>
      <c r="B8" t="s">
        <v>112</v>
      </c>
      <c r="C8" t="s">
        <v>29</v>
      </c>
      <c r="D8">
        <v>17</v>
      </c>
      <c r="E8" t="s">
        <v>18</v>
      </c>
      <c r="F8">
        <v>21</v>
      </c>
      <c r="G8" t="s">
        <v>22</v>
      </c>
      <c r="H8">
        <v>1668</v>
      </c>
      <c r="K8" s="4" t="str">
        <f t="shared" si="0"/>
        <v>INSERT INTO Line (id, nameLine, ownerLine, startStation, endStation, gaugeId) VALUES (4,'Ramal Nine - Barcelos','PT503933813',20,8,1);</v>
      </c>
    </row>
    <row r="9" spans="1:11" x14ac:dyDescent="0.4">
      <c r="A9">
        <v>8</v>
      </c>
      <c r="B9" t="s">
        <v>41</v>
      </c>
      <c r="C9" t="s">
        <v>29</v>
      </c>
      <c r="D9">
        <v>21</v>
      </c>
      <c r="E9" t="s">
        <v>22</v>
      </c>
      <c r="F9">
        <v>16</v>
      </c>
      <c r="G9" t="s">
        <v>17</v>
      </c>
      <c r="H9">
        <v>1668</v>
      </c>
      <c r="K9" s="4" t="str">
        <f t="shared" si="0"/>
        <v>INSERT INTO Line (id, nameLine, ownerLine, startStation, endStation, gaugeId) VALUES (5,'Ramal Barcelos - Darque','PT503933813',8,12,1);</v>
      </c>
    </row>
    <row r="10" spans="1:11" x14ac:dyDescent="0.4">
      <c r="A10">
        <v>9</v>
      </c>
      <c r="B10" t="s">
        <v>42</v>
      </c>
      <c r="C10" t="s">
        <v>29</v>
      </c>
      <c r="D10">
        <v>16</v>
      </c>
      <c r="E10" t="s">
        <v>17</v>
      </c>
      <c r="F10">
        <v>11</v>
      </c>
      <c r="G10" t="s">
        <v>12</v>
      </c>
      <c r="H10">
        <v>1668</v>
      </c>
      <c r="K10" s="4" t="str">
        <f t="shared" si="0"/>
        <v>INSERT INTO Line (id, nameLine, ownerLine, startStation, endStation, gaugeId) VALUES (6,'Ramal Darque - Viana','PT503933813',12,17,1);</v>
      </c>
    </row>
    <row r="11" spans="1:11" x14ac:dyDescent="0.4">
      <c r="A11">
        <v>21</v>
      </c>
      <c r="B11" t="s">
        <v>121</v>
      </c>
      <c r="C11" t="s">
        <v>29</v>
      </c>
      <c r="D11">
        <v>13</v>
      </c>
      <c r="E11" t="s">
        <v>14</v>
      </c>
      <c r="F11">
        <v>43</v>
      </c>
      <c r="G11" t="s">
        <v>120</v>
      </c>
      <c r="H11">
        <v>1668</v>
      </c>
      <c r="K11" s="4" t="str">
        <f t="shared" si="0"/>
        <v>INSERT INTO Line (id, nameLine, ownerLine, startStation, endStation, gaugeId) VALUES (7,'Ramal Viana - Caminha','PT503933813',17,21,1);</v>
      </c>
    </row>
    <row r="12" spans="1:11" x14ac:dyDescent="0.4">
      <c r="A12">
        <v>22</v>
      </c>
      <c r="B12" t="s">
        <v>141</v>
      </c>
      <c r="C12" t="s">
        <v>29</v>
      </c>
      <c r="D12">
        <v>43</v>
      </c>
      <c r="E12" t="s">
        <v>120</v>
      </c>
      <c r="F12">
        <v>45</v>
      </c>
      <c r="G12" t="s">
        <v>118</v>
      </c>
      <c r="H12">
        <v>1668</v>
      </c>
      <c r="K12" s="4" t="str">
        <f t="shared" si="0"/>
        <v>INSERT INTO Line (id, nameLine, ownerLine, startStation, endStation, gaugeId) VALUES (8,'Ramal Caminha - Torre','PT503933813',21,16,1);</v>
      </c>
    </row>
    <row r="13" spans="1:11" x14ac:dyDescent="0.4">
      <c r="A13">
        <v>23</v>
      </c>
      <c r="B13" t="s">
        <v>122</v>
      </c>
      <c r="C13" t="s">
        <v>29</v>
      </c>
      <c r="D13">
        <v>45</v>
      </c>
      <c r="E13" t="s">
        <v>140</v>
      </c>
      <c r="F13">
        <v>48</v>
      </c>
      <c r="G13" t="s">
        <v>119</v>
      </c>
      <c r="H13">
        <v>1668</v>
      </c>
      <c r="K13" s="4" t="str">
        <f t="shared" si="0"/>
        <v>INSERT INTO Line (id, nameLine, ownerLine, startStation, endStation, gaugeId) VALUES (9,'Ramal Torre - Valença','PT503933813',16,11,1);</v>
      </c>
    </row>
    <row r="14" spans="1:11" x14ac:dyDescent="0.4">
      <c r="A14">
        <v>24</v>
      </c>
      <c r="B14" t="s">
        <v>123</v>
      </c>
      <c r="C14" t="s">
        <v>29</v>
      </c>
      <c r="D14">
        <v>48</v>
      </c>
      <c r="E14" t="s">
        <v>119</v>
      </c>
      <c r="F14">
        <v>50</v>
      </c>
      <c r="G14" t="s">
        <v>117</v>
      </c>
      <c r="H14">
        <v>1668</v>
      </c>
      <c r="K14" s="4" t="str">
        <f t="shared" si="0"/>
        <v>INSERT INTO Line (id, nameLine, ownerLine, startStation, endStation, gaugeId) VALUES (21,'Ramal Contumil - São Gemil','PT503933813',13,43,1);</v>
      </c>
    </row>
    <row r="15" spans="1:11" x14ac:dyDescent="0.4">
      <c r="K15" s="4" t="str">
        <f t="shared" si="0"/>
        <v>INSERT INTO Line (id, nameLine, ownerLine, startStation, endStation, gaugeId) VALUES (22,'Ramal São Gemil - São Mamede de Infesta','PT503933813',43,45,1);</v>
      </c>
    </row>
    <row r="16" spans="1:11" x14ac:dyDescent="0.4">
      <c r="K16" s="4" t="str">
        <f t="shared" si="0"/>
        <v>INSERT INTO Line (id, nameLine, ownerLine, startStation, endStation, gaugeId) VALUES (23,'Ramal São Mamede de Infesta - Leça do Balio','PT503933813',45,48,1);</v>
      </c>
    </row>
    <row r="17" spans="11:11" x14ac:dyDescent="0.4">
      <c r="K17" s="4" t="str">
        <f t="shared" si="0"/>
        <v>INSERT INTO Line (id, nameLine, ownerLine, startStation, endStation, gaugeId) VALUES (24,'Ramal Leça do Balio - Leixões','PT503933813',48,50,1);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BDD1-80D9-AA41-A42C-F1C292919B42}">
  <dimension ref="A1:K29"/>
  <sheetViews>
    <sheetView zoomScale="93" zoomScaleNormal="120" workbookViewId="0">
      <selection activeCell="I24" sqref="I24"/>
    </sheetView>
  </sheetViews>
  <sheetFormatPr defaultColWidth="10.6640625" defaultRowHeight="16" x14ac:dyDescent="0.4"/>
  <cols>
    <col min="5" max="5" width="16" bestFit="1" customWidth="1"/>
    <col min="7" max="7" width="12.83203125" bestFit="1" customWidth="1"/>
    <col min="8" max="8" width="13" bestFit="1" customWidth="1"/>
  </cols>
  <sheetData>
    <row r="1" spans="1:11" x14ac:dyDescent="0.4">
      <c r="A1" t="s">
        <v>0</v>
      </c>
      <c r="B1" t="s">
        <v>33</v>
      </c>
      <c r="C1" t="s">
        <v>34</v>
      </c>
      <c r="D1" t="s">
        <v>35</v>
      </c>
      <c r="E1" t="s">
        <v>38</v>
      </c>
      <c r="F1" t="s">
        <v>39</v>
      </c>
      <c r="G1" t="s">
        <v>47</v>
      </c>
      <c r="H1" t="s">
        <v>124</v>
      </c>
      <c r="I1" t="s">
        <v>125</v>
      </c>
    </row>
    <row r="2" spans="1:11" x14ac:dyDescent="0.4">
      <c r="A2">
        <v>1</v>
      </c>
      <c r="B2">
        <v>1</v>
      </c>
      <c r="C2">
        <v>1</v>
      </c>
      <c r="D2" t="s">
        <v>37</v>
      </c>
      <c r="E2">
        <v>8000</v>
      </c>
      <c r="F2">
        <v>2618</v>
      </c>
      <c r="G2">
        <v>4</v>
      </c>
    </row>
    <row r="3" spans="1:11" x14ac:dyDescent="0.4">
      <c r="A3">
        <v>3</v>
      </c>
      <c r="B3">
        <v>2</v>
      </c>
      <c r="C3">
        <v>1</v>
      </c>
      <c r="D3" t="s">
        <v>37</v>
      </c>
      <c r="E3">
        <v>8000</v>
      </c>
      <c r="F3">
        <v>2443</v>
      </c>
      <c r="G3">
        <v>4</v>
      </c>
      <c r="K3" t="str">
        <f>"INSERT INTO LineSegmentType (id, description) VALUES (1,'single track');"</f>
        <v>INSERT INTO LineSegmentType (id, description) VALUES (1,'single track');</v>
      </c>
    </row>
    <row r="4" spans="1:11" x14ac:dyDescent="0.4">
      <c r="A4">
        <v>10</v>
      </c>
      <c r="B4">
        <v>3</v>
      </c>
      <c r="C4">
        <v>1</v>
      </c>
      <c r="D4" t="s">
        <v>37</v>
      </c>
      <c r="E4">
        <v>8000</v>
      </c>
      <c r="F4">
        <v>26560</v>
      </c>
      <c r="G4">
        <v>2</v>
      </c>
      <c r="K4" t="str">
        <f>"INSERT INTO LineSegmentType (id, description) VALUES (2,'double track');"</f>
        <v>INSERT INTO LineSegmentType (id, description) VALUES (2,'double track');</v>
      </c>
    </row>
    <row r="5" spans="1:11" x14ac:dyDescent="0.4">
      <c r="A5">
        <v>11</v>
      </c>
      <c r="B5">
        <v>3</v>
      </c>
      <c r="C5">
        <v>2</v>
      </c>
      <c r="D5" t="s">
        <v>37</v>
      </c>
      <c r="E5">
        <v>8000</v>
      </c>
      <c r="F5">
        <v>10000</v>
      </c>
      <c r="G5">
        <v>2</v>
      </c>
      <c r="K5" t="str">
        <f>"INSERT INTO LineSegmentType (id, description) VALUES (3,'quadruple track');"</f>
        <v>INSERT INTO LineSegmentType (id, description) VALUES (3,'quadruple track');</v>
      </c>
    </row>
    <row r="6" spans="1:11" x14ac:dyDescent="0.4">
      <c r="A6">
        <v>15</v>
      </c>
      <c r="B6">
        <v>4</v>
      </c>
      <c r="C6">
        <v>1</v>
      </c>
      <c r="D6" t="s">
        <v>37</v>
      </c>
      <c r="E6">
        <v>8000</v>
      </c>
      <c r="F6">
        <v>5286</v>
      </c>
      <c r="G6">
        <v>2</v>
      </c>
    </row>
    <row r="7" spans="1:11" x14ac:dyDescent="0.4">
      <c r="A7">
        <v>16</v>
      </c>
      <c r="B7">
        <v>4</v>
      </c>
      <c r="C7">
        <v>2</v>
      </c>
      <c r="D7" t="s">
        <v>37</v>
      </c>
      <c r="E7">
        <v>8000</v>
      </c>
      <c r="F7">
        <v>6000</v>
      </c>
      <c r="G7">
        <v>2</v>
      </c>
    </row>
    <row r="8" spans="1:11" x14ac:dyDescent="0.4">
      <c r="A8">
        <v>14</v>
      </c>
      <c r="B8">
        <v>5</v>
      </c>
      <c r="C8">
        <v>1</v>
      </c>
      <c r="D8" t="s">
        <v>37</v>
      </c>
      <c r="E8">
        <v>8000</v>
      </c>
      <c r="F8">
        <v>10387</v>
      </c>
      <c r="G8">
        <v>2</v>
      </c>
      <c r="K8" t="str">
        <f>"INSERT INTO LineSegment (id, maximumWeigh, lenght, isElectrified, segmentOrder, sidingPosition, sidingLength, lineSegmentsTypeid, lineId) VALUES ("&amp;A2&amp;","&amp;E2&amp;","&amp;F2&amp;",1,"&amp;C2&amp;",'','',3,"&amp;B2&amp;");"</f>
        <v>INSERT INTO LineSegment (id, maximumWeigh, lenght, isElectrified, segmentOrder, sidingPosition, sidingLength, lineSegmentsTypeid, lineId) VALUES (1,8000,2618,1,1,'','',3,1);</v>
      </c>
    </row>
    <row r="9" spans="1:11" x14ac:dyDescent="0.4">
      <c r="A9">
        <v>12</v>
      </c>
      <c r="B9">
        <v>5</v>
      </c>
      <c r="C9">
        <v>2</v>
      </c>
      <c r="D9" t="s">
        <v>37</v>
      </c>
      <c r="E9">
        <v>8000</v>
      </c>
      <c r="F9">
        <v>12000</v>
      </c>
      <c r="G9">
        <v>2</v>
      </c>
      <c r="K9" t="str">
        <f t="shared" ref="K9:K29" si="0">"INSERT INTO LineSegment (id, maximumWeigh, lenght, isElectrified, segmentOrder, sidingPosition, sidingLength, lineSegmentsTypeid, lineId) VALUES ("&amp;A3&amp;","&amp;E3&amp;","&amp;F3&amp;",1,"&amp;C3&amp;",'','',3,"&amp;B3&amp;");"</f>
        <v>INSERT INTO LineSegment (id, maximumWeigh, lenght, isElectrified, segmentOrder, sidingPosition, sidingLength, lineSegmentsTypeid, lineId) VALUES (3,8000,2443,1,1,'','',3,2);</v>
      </c>
    </row>
    <row r="10" spans="1:11" x14ac:dyDescent="0.4">
      <c r="A10">
        <v>13</v>
      </c>
      <c r="B10">
        <v>5</v>
      </c>
      <c r="C10">
        <v>3</v>
      </c>
      <c r="D10" t="s">
        <v>37</v>
      </c>
      <c r="E10">
        <v>8000</v>
      </c>
      <c r="F10">
        <v>3100</v>
      </c>
      <c r="G10">
        <v>2</v>
      </c>
      <c r="K10" t="str">
        <f t="shared" si="0"/>
        <v>INSERT INTO LineSegment (id, maximumWeigh, lenght, isElectrified, segmentOrder, sidingPosition, sidingLength, lineSegmentsTypeid, lineId) VALUES (10,8000,26560,1,1,'','',3,3);</v>
      </c>
    </row>
    <row r="11" spans="1:11" x14ac:dyDescent="0.4">
      <c r="A11">
        <v>20</v>
      </c>
      <c r="B11">
        <v>6</v>
      </c>
      <c r="C11">
        <v>1</v>
      </c>
      <c r="D11" t="s">
        <v>37</v>
      </c>
      <c r="E11">
        <v>6400</v>
      </c>
      <c r="F11">
        <v>4890</v>
      </c>
      <c r="G11">
        <v>2</v>
      </c>
      <c r="K11" t="str">
        <f t="shared" si="0"/>
        <v>INSERT INTO LineSegment (id, maximumWeigh, lenght, isElectrified, segmentOrder, sidingPosition, sidingLength, lineSegmentsTypeid, lineId) VALUES (11,8000,10000,1,2,'','',3,3);</v>
      </c>
    </row>
    <row r="12" spans="1:11" x14ac:dyDescent="0.4">
      <c r="A12">
        <v>18</v>
      </c>
      <c r="B12">
        <v>7</v>
      </c>
      <c r="C12">
        <v>1</v>
      </c>
      <c r="D12" t="s">
        <v>37</v>
      </c>
      <c r="E12">
        <v>8000</v>
      </c>
      <c r="F12">
        <v>6000</v>
      </c>
      <c r="G12">
        <v>1</v>
      </c>
      <c r="K12" t="str">
        <f t="shared" si="0"/>
        <v>INSERT INTO LineSegment (id, maximumWeigh, lenght, isElectrified, segmentOrder, sidingPosition, sidingLength, lineSegmentsTypeid, lineId) VALUES (15,8000,5286,1,1,'','',3,4);</v>
      </c>
    </row>
    <row r="13" spans="1:11" x14ac:dyDescent="0.4">
      <c r="A13">
        <v>21</v>
      </c>
      <c r="B13">
        <v>7</v>
      </c>
      <c r="C13">
        <v>2</v>
      </c>
      <c r="D13" t="s">
        <v>37</v>
      </c>
      <c r="E13">
        <v>8000</v>
      </c>
      <c r="F13">
        <v>5000</v>
      </c>
      <c r="G13">
        <v>1</v>
      </c>
      <c r="H13">
        <v>2000</v>
      </c>
      <c r="I13">
        <v>864</v>
      </c>
      <c r="K13" t="str">
        <f t="shared" si="0"/>
        <v>INSERT INTO LineSegment (id, maximumWeigh, lenght, isElectrified, segmentOrder, sidingPosition, sidingLength, lineSegmentsTypeid, lineId) VALUES (16,8000,6000,1,2,'','',3,4);</v>
      </c>
    </row>
    <row r="14" spans="1:11" x14ac:dyDescent="0.4">
      <c r="A14">
        <v>22</v>
      </c>
      <c r="B14">
        <v>7</v>
      </c>
      <c r="C14">
        <v>3</v>
      </c>
      <c r="D14" t="s">
        <v>37</v>
      </c>
      <c r="E14">
        <v>8000</v>
      </c>
      <c r="F14">
        <v>12000</v>
      </c>
      <c r="G14">
        <v>1</v>
      </c>
      <c r="K14" t="str">
        <f t="shared" si="0"/>
        <v>INSERT INTO LineSegment (id, maximumWeigh, lenght, isElectrified, segmentOrder, sidingPosition, sidingLength, lineSegmentsTypeid, lineId) VALUES (14,8000,10387,1,1,'','',3,5);</v>
      </c>
    </row>
    <row r="15" spans="1:11" x14ac:dyDescent="0.4">
      <c r="A15">
        <v>25</v>
      </c>
      <c r="B15">
        <v>8</v>
      </c>
      <c r="C15">
        <v>1</v>
      </c>
      <c r="D15" t="s">
        <v>37</v>
      </c>
      <c r="E15">
        <v>8000</v>
      </c>
      <c r="F15">
        <v>20829</v>
      </c>
      <c r="G15">
        <v>1</v>
      </c>
      <c r="H15">
        <v>11000</v>
      </c>
      <c r="I15">
        <v>266</v>
      </c>
      <c r="K15" t="str">
        <f t="shared" si="0"/>
        <v>INSERT INTO LineSegment (id, maximumWeigh, lenght, isElectrified, segmentOrder, sidingPosition, sidingLength, lineSegmentsTypeid, lineId) VALUES (12,8000,12000,1,2,'','',3,5);</v>
      </c>
    </row>
    <row r="16" spans="1:11" x14ac:dyDescent="0.4">
      <c r="A16">
        <v>26</v>
      </c>
      <c r="B16">
        <v>9</v>
      </c>
      <c r="C16">
        <v>1</v>
      </c>
      <c r="D16" t="s">
        <v>37</v>
      </c>
      <c r="E16">
        <v>8000</v>
      </c>
      <c r="F16">
        <v>4264</v>
      </c>
      <c r="G16">
        <v>1</v>
      </c>
      <c r="K16" t="str">
        <f t="shared" si="0"/>
        <v>INSERT INTO LineSegment (id, maximumWeigh, lenght, isElectrified, segmentOrder, sidingPosition, sidingLength, lineSegmentsTypeid, lineId) VALUES (13,8000,3100,1,3,'','',3,5);</v>
      </c>
    </row>
    <row r="17" spans="1:11" x14ac:dyDescent="0.4">
      <c r="A17">
        <v>30</v>
      </c>
      <c r="B17">
        <v>21</v>
      </c>
      <c r="C17">
        <v>1</v>
      </c>
      <c r="D17" t="s">
        <v>37</v>
      </c>
      <c r="E17">
        <v>8000</v>
      </c>
      <c r="F17">
        <v>3883</v>
      </c>
      <c r="G17">
        <v>2</v>
      </c>
      <c r="K17" t="str">
        <f t="shared" si="0"/>
        <v>INSERT INTO LineSegment (id, maximumWeigh, lenght, isElectrified, segmentOrder, sidingPosition, sidingLength, lineSegmentsTypeid, lineId) VALUES (20,6400,4890,1,1,'','',3,6);</v>
      </c>
    </row>
    <row r="18" spans="1:11" x14ac:dyDescent="0.4">
      <c r="A18">
        <v>31</v>
      </c>
      <c r="B18">
        <v>22</v>
      </c>
      <c r="C18">
        <v>1</v>
      </c>
      <c r="D18" t="s">
        <v>37</v>
      </c>
      <c r="E18">
        <v>8400</v>
      </c>
      <c r="F18">
        <v>1174</v>
      </c>
      <c r="G18">
        <v>2</v>
      </c>
      <c r="K18" t="str">
        <f t="shared" si="0"/>
        <v>INSERT INTO LineSegment (id, maximumWeigh, lenght, isElectrified, segmentOrder, sidingPosition, sidingLength, lineSegmentsTypeid, lineId) VALUES (18,8000,6000,1,1,'','',3,7);</v>
      </c>
    </row>
    <row r="19" spans="1:11" x14ac:dyDescent="0.4">
      <c r="A19">
        <v>32</v>
      </c>
      <c r="B19">
        <v>22</v>
      </c>
      <c r="C19">
        <v>2</v>
      </c>
      <c r="D19" t="s">
        <v>37</v>
      </c>
      <c r="E19">
        <v>8000</v>
      </c>
      <c r="F19">
        <v>2534</v>
      </c>
      <c r="G19">
        <v>2</v>
      </c>
      <c r="K19" t="str">
        <f>"INSERT INTO LineSegment (id, maximumWeigh, lenght, isElectrified, segmentOrder, sidingPosition, sidingLength, lineSegmentsTypeid, lineId) VALUES ("&amp;A13&amp;","&amp;E13&amp;","&amp;F13&amp;",1,"&amp;C13&amp;","&amp;H13&amp;","&amp;I13&amp;",3,"&amp;B13&amp;");"</f>
        <v>INSERT INTO LineSegment (id, maximumWeigh, lenght, isElectrified, segmentOrder, sidingPosition, sidingLength, lineSegmentsTypeid, lineId) VALUES (21,8000,5000,1,2,2000,864,3,7);</v>
      </c>
    </row>
    <row r="20" spans="1:11" x14ac:dyDescent="0.4">
      <c r="A20">
        <v>33</v>
      </c>
      <c r="B20">
        <v>23</v>
      </c>
      <c r="C20">
        <v>1</v>
      </c>
      <c r="D20" t="s">
        <v>37</v>
      </c>
      <c r="E20">
        <v>8000</v>
      </c>
      <c r="F20">
        <v>1566</v>
      </c>
      <c r="G20">
        <v>2</v>
      </c>
      <c r="K20" t="str">
        <f t="shared" si="0"/>
        <v>INSERT INTO LineSegment (id, maximumWeigh, lenght, isElectrified, segmentOrder, sidingPosition, sidingLength, lineSegmentsTypeid, lineId) VALUES (22,8000,12000,1,3,'','',3,7);</v>
      </c>
    </row>
    <row r="21" spans="1:11" x14ac:dyDescent="0.4">
      <c r="A21">
        <v>34</v>
      </c>
      <c r="B21">
        <v>23</v>
      </c>
      <c r="C21">
        <v>2</v>
      </c>
      <c r="D21" t="s">
        <v>37</v>
      </c>
      <c r="E21">
        <v>8000</v>
      </c>
      <c r="F21">
        <v>1453</v>
      </c>
      <c r="G21">
        <v>2</v>
      </c>
      <c r="K21" t="str">
        <f>"INSERT INTO LineSegment (id, maximumWeigh, lenght, isElectrified, segmentOrder, sidingPosition, sidingLength, lineSegmentsTypeid, lineId) VALUES ("&amp;A15&amp;","&amp;E15&amp;","&amp;F15&amp;",1,"&amp;C15&amp;","&amp;H15&amp;","&amp;I15&amp;",3,"&amp;B15&amp;");"</f>
        <v>INSERT INTO LineSegment (id, maximumWeigh, lenght, isElectrified, segmentOrder, sidingPosition, sidingLength, lineSegmentsTypeid, lineId) VALUES (25,8000,20829,1,1,11000,266,3,8);</v>
      </c>
    </row>
    <row r="22" spans="1:11" x14ac:dyDescent="0.4">
      <c r="A22">
        <v>35</v>
      </c>
      <c r="B22">
        <v>24</v>
      </c>
      <c r="C22">
        <v>1</v>
      </c>
      <c r="D22" t="s">
        <v>37</v>
      </c>
      <c r="E22">
        <v>8100</v>
      </c>
      <c r="F22">
        <v>3597</v>
      </c>
      <c r="G22">
        <v>2</v>
      </c>
      <c r="K22" t="str">
        <f t="shared" si="0"/>
        <v>INSERT INTO LineSegment (id, maximumWeigh, lenght, isElectrified, segmentOrder, sidingPosition, sidingLength, lineSegmentsTypeid, lineId) VALUES (26,8000,4264,1,1,'','',3,9);</v>
      </c>
    </row>
    <row r="23" spans="1:11" x14ac:dyDescent="0.4">
      <c r="A23">
        <v>36</v>
      </c>
      <c r="B23">
        <v>24</v>
      </c>
      <c r="C23">
        <v>2</v>
      </c>
      <c r="D23" t="s">
        <v>37</v>
      </c>
      <c r="E23">
        <v>8000</v>
      </c>
      <c r="F23">
        <v>4334</v>
      </c>
      <c r="G23">
        <v>2</v>
      </c>
      <c r="K23" t="str">
        <f t="shared" si="0"/>
        <v>INSERT INTO LineSegment (id, maximumWeigh, lenght, isElectrified, segmentOrder, sidingPosition, sidingLength, lineSegmentsTypeid, lineId) VALUES (30,8000,3883,1,1,'','',3,21);</v>
      </c>
    </row>
    <row r="24" spans="1:11" x14ac:dyDescent="0.4">
      <c r="K24" t="str">
        <f t="shared" si="0"/>
        <v>INSERT INTO LineSegment (id, maximumWeigh, lenght, isElectrified, segmentOrder, sidingPosition, sidingLength, lineSegmentsTypeid, lineId) VALUES (31,8400,1174,1,1,'','',3,22);</v>
      </c>
    </row>
    <row r="25" spans="1:11" x14ac:dyDescent="0.4">
      <c r="K25" t="str">
        <f t="shared" si="0"/>
        <v>INSERT INTO LineSegment (id, maximumWeigh, lenght, isElectrified, segmentOrder, sidingPosition, sidingLength, lineSegmentsTypeid, lineId) VALUES (32,8000,2534,1,2,'','',3,22);</v>
      </c>
    </row>
    <row r="26" spans="1:11" x14ac:dyDescent="0.4">
      <c r="K26" t="str">
        <f t="shared" si="0"/>
        <v>INSERT INTO LineSegment (id, maximumWeigh, lenght, isElectrified, segmentOrder, sidingPosition, sidingLength, lineSegmentsTypeid, lineId) VALUES (33,8000,1566,1,1,'','',3,23);</v>
      </c>
    </row>
    <row r="27" spans="1:11" x14ac:dyDescent="0.4">
      <c r="K27" t="str">
        <f t="shared" si="0"/>
        <v>INSERT INTO LineSegment (id, maximumWeigh, lenght, isElectrified, segmentOrder, sidingPosition, sidingLength, lineSegmentsTypeid, lineId) VALUES (34,8000,1453,1,2,'','',3,23);</v>
      </c>
    </row>
    <row r="28" spans="1:11" x14ac:dyDescent="0.4">
      <c r="K28" t="str">
        <f t="shared" si="0"/>
        <v>INSERT INTO LineSegment (id, maximumWeigh, lenght, isElectrified, segmentOrder, sidingPosition, sidingLength, lineSegmentsTypeid, lineId) VALUES (35,8100,3597,1,1,'','',3,24);</v>
      </c>
    </row>
    <row r="29" spans="1:11" x14ac:dyDescent="0.4">
      <c r="K29" t="str">
        <f t="shared" si="0"/>
        <v>INSERT INTO LineSegment (id, maximumWeigh, lenght, isElectrified, segmentOrder, sidingPosition, sidingLength, lineSegmentsTypeid, lineId) VALUES (36,8000,4334,1,2,'','',3,24);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997D-9251-2E44-A1F9-9F4576B88A53}">
  <dimension ref="A1:C2"/>
  <sheetViews>
    <sheetView workbookViewId="0">
      <selection activeCell="D17" sqref="D17"/>
    </sheetView>
  </sheetViews>
  <sheetFormatPr defaultColWidth="10.6640625" defaultRowHeight="16" x14ac:dyDescent="0.4"/>
  <cols>
    <col min="1" max="1" width="25.6640625" bestFit="1" customWidth="1"/>
    <col min="3" max="3" width="12" bestFit="1" customWidth="1"/>
  </cols>
  <sheetData>
    <row r="1" spans="1:3" x14ac:dyDescent="0.4">
      <c r="A1" t="s">
        <v>1</v>
      </c>
      <c r="B1" t="s">
        <v>43</v>
      </c>
      <c r="C1" t="s">
        <v>44</v>
      </c>
    </row>
    <row r="2" spans="1:3" x14ac:dyDescent="0.4">
      <c r="A2" t="s">
        <v>46</v>
      </c>
      <c r="B2" t="s">
        <v>29</v>
      </c>
      <c r="C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CE99-FE9D-7D40-9779-4D391839C2CA}">
  <dimension ref="A1:C9"/>
  <sheetViews>
    <sheetView workbookViewId="0">
      <selection activeCell="B9" sqref="B9"/>
    </sheetView>
  </sheetViews>
  <sheetFormatPr defaultColWidth="10.6640625" defaultRowHeight="16" x14ac:dyDescent="0.4"/>
  <cols>
    <col min="1" max="1" width="42.6640625" bestFit="1" customWidth="1"/>
    <col min="3" max="3" width="12" bestFit="1" customWidth="1"/>
  </cols>
  <sheetData>
    <row r="1" spans="1:3" x14ac:dyDescent="0.4">
      <c r="A1" t="s">
        <v>1</v>
      </c>
      <c r="B1" t="s">
        <v>43</v>
      </c>
      <c r="C1" t="s">
        <v>44</v>
      </c>
    </row>
    <row r="2" spans="1:3" x14ac:dyDescent="0.4">
      <c r="A2" t="s">
        <v>49</v>
      </c>
      <c r="B2" t="s">
        <v>48</v>
      </c>
      <c r="C2" t="s">
        <v>50</v>
      </c>
    </row>
    <row r="3" spans="1:3" x14ac:dyDescent="0.4">
      <c r="A3" t="s">
        <v>104</v>
      </c>
      <c r="B3" t="s">
        <v>105</v>
      </c>
      <c r="C3" t="s">
        <v>106</v>
      </c>
    </row>
    <row r="7" spans="1:3" x14ac:dyDescent="0.4">
      <c r="B7" t="str">
        <f>"INSERT INTO Operator (vatNumber, name, shortName) VALUES ('"&amp;C2&amp;"', '"&amp;A2&amp;"','"&amp;B2&amp;"');"</f>
        <v>INSERT INTO Operator (vatNumber, name, shortName) VALUES ('PT509017800', 'Medway - Operador Ferroviário de Mercadorias, S.A','Medway');</v>
      </c>
    </row>
    <row r="8" spans="1:3" x14ac:dyDescent="0.4">
      <c r="B8" t="str">
        <f>"INSERT INTO Operator (vatNumber, name, shortName) VALUES ('"&amp;C3&amp;"', '"&amp;A3&amp;"','"&amp;B3&amp;"');"</f>
        <v>INSERT INTO Operator (vatNumber, name, shortName) VALUES ('PT507832388', 'Captrain Portugal S.A.','Captrain');</v>
      </c>
    </row>
    <row r="9" spans="1:3" x14ac:dyDescent="0.4">
      <c r="B9" t="str">
        <f>"INSERT INTO Operator (vatNumber, name, shortName) VALUES ('"&amp;Owner!C2&amp;"', '"&amp;Owner!A2&amp;"','"&amp;Owner!B2&amp;"');"</f>
        <v>INSERT INTO Operator (vatNumber, name, shortName) VALUES ('PT503933813', 'Infraestruturas de Portugal, SA','IP');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6DC6-1562-C44A-8B3E-3FFA2FDD4829}">
  <dimension ref="A1:U42"/>
  <sheetViews>
    <sheetView zoomScale="69" workbookViewId="0">
      <selection activeCell="C26" sqref="C26"/>
    </sheetView>
  </sheetViews>
  <sheetFormatPr defaultColWidth="10.6640625" defaultRowHeight="16" x14ac:dyDescent="0.4"/>
  <cols>
    <col min="14" max="14" width="16.33203125" bestFit="1" customWidth="1"/>
    <col min="15" max="15" width="11.83203125" bestFit="1" customWidth="1"/>
  </cols>
  <sheetData>
    <row r="1" spans="1:21" x14ac:dyDescent="0.4">
      <c r="A1" t="s">
        <v>67</v>
      </c>
      <c r="B1" t="s">
        <v>1</v>
      </c>
      <c r="C1" t="s">
        <v>51</v>
      </c>
      <c r="D1" t="s">
        <v>52</v>
      </c>
      <c r="E1" t="s">
        <v>53</v>
      </c>
      <c r="F1" t="s">
        <v>75</v>
      </c>
      <c r="G1" t="s">
        <v>76</v>
      </c>
      <c r="H1" t="s">
        <v>54</v>
      </c>
      <c r="I1" t="s">
        <v>36</v>
      </c>
      <c r="J1" t="s">
        <v>55</v>
      </c>
      <c r="K1" t="s">
        <v>56</v>
      </c>
      <c r="L1" t="s">
        <v>74</v>
      </c>
      <c r="M1" t="s">
        <v>57</v>
      </c>
      <c r="N1" t="s">
        <v>66</v>
      </c>
      <c r="O1" t="s">
        <v>73</v>
      </c>
      <c r="P1" t="s">
        <v>58</v>
      </c>
      <c r="Q1" t="s">
        <v>60</v>
      </c>
      <c r="R1" t="s">
        <v>65</v>
      </c>
      <c r="S1" t="s">
        <v>61</v>
      </c>
      <c r="T1" t="s">
        <v>28</v>
      </c>
      <c r="U1" t="s">
        <v>107</v>
      </c>
    </row>
    <row r="2" spans="1:21" x14ac:dyDescent="0.4">
      <c r="A2">
        <v>5621</v>
      </c>
      <c r="B2" t="s">
        <v>68</v>
      </c>
      <c r="C2" t="s">
        <v>64</v>
      </c>
      <c r="D2" t="s">
        <v>63</v>
      </c>
      <c r="E2">
        <v>1995</v>
      </c>
      <c r="F2">
        <v>2</v>
      </c>
      <c r="G2" t="s">
        <v>78</v>
      </c>
      <c r="H2">
        <v>5600</v>
      </c>
      <c r="I2" t="s">
        <v>165</v>
      </c>
      <c r="J2">
        <v>3</v>
      </c>
      <c r="K2" t="s">
        <v>162</v>
      </c>
      <c r="L2">
        <v>87</v>
      </c>
      <c r="M2">
        <v>220</v>
      </c>
      <c r="N2">
        <v>70</v>
      </c>
      <c r="O2">
        <v>300</v>
      </c>
      <c r="P2" t="s">
        <v>59</v>
      </c>
      <c r="Q2">
        <v>25000</v>
      </c>
      <c r="R2">
        <v>50</v>
      </c>
      <c r="S2" t="s">
        <v>48</v>
      </c>
      <c r="T2">
        <v>1668</v>
      </c>
    </row>
    <row r="3" spans="1:21" x14ac:dyDescent="0.4">
      <c r="A3">
        <v>5623</v>
      </c>
      <c r="B3" t="s">
        <v>69</v>
      </c>
      <c r="C3" t="s">
        <v>64</v>
      </c>
      <c r="D3" t="s">
        <v>63</v>
      </c>
      <c r="E3">
        <v>1995</v>
      </c>
      <c r="F3">
        <v>2</v>
      </c>
      <c r="G3" t="s">
        <v>78</v>
      </c>
      <c r="H3">
        <v>5600</v>
      </c>
      <c r="I3" t="s">
        <v>165</v>
      </c>
      <c r="J3">
        <v>3</v>
      </c>
      <c r="K3" t="s">
        <v>162</v>
      </c>
      <c r="L3">
        <v>87</v>
      </c>
      <c r="M3">
        <v>220</v>
      </c>
      <c r="N3">
        <v>70</v>
      </c>
      <c r="O3">
        <v>300</v>
      </c>
      <c r="P3" t="s">
        <v>59</v>
      </c>
      <c r="Q3">
        <v>25000</v>
      </c>
      <c r="R3">
        <v>50</v>
      </c>
      <c r="S3" t="s">
        <v>48</v>
      </c>
      <c r="T3">
        <v>1668</v>
      </c>
    </row>
    <row r="4" spans="1:21" x14ac:dyDescent="0.4">
      <c r="A4">
        <v>5630</v>
      </c>
      <c r="B4" t="s">
        <v>70</v>
      </c>
      <c r="C4" t="s">
        <v>64</v>
      </c>
      <c r="D4" t="s">
        <v>63</v>
      </c>
      <c r="E4">
        <v>1996</v>
      </c>
      <c r="F4">
        <v>2</v>
      </c>
      <c r="G4" t="s">
        <v>78</v>
      </c>
      <c r="H4">
        <v>5600</v>
      </c>
      <c r="I4" t="s">
        <v>165</v>
      </c>
      <c r="J4">
        <v>3</v>
      </c>
      <c r="K4" t="s">
        <v>162</v>
      </c>
      <c r="L4">
        <v>87</v>
      </c>
      <c r="M4">
        <v>220</v>
      </c>
      <c r="N4">
        <v>70</v>
      </c>
      <c r="O4">
        <v>300</v>
      </c>
      <c r="P4" t="s">
        <v>59</v>
      </c>
      <c r="Q4">
        <v>25000</v>
      </c>
      <c r="R4">
        <v>50</v>
      </c>
      <c r="S4" t="s">
        <v>48</v>
      </c>
      <c r="T4">
        <v>1668</v>
      </c>
    </row>
    <row r="5" spans="1:21" x14ac:dyDescent="0.4">
      <c r="A5">
        <v>1903</v>
      </c>
      <c r="B5" t="s">
        <v>72</v>
      </c>
      <c r="C5" t="s">
        <v>166</v>
      </c>
      <c r="D5" t="s">
        <v>79</v>
      </c>
      <c r="E5">
        <v>1981</v>
      </c>
      <c r="F5">
        <v>2</v>
      </c>
      <c r="G5" t="s">
        <v>77</v>
      </c>
      <c r="H5">
        <v>1623</v>
      </c>
      <c r="I5" t="s">
        <v>160</v>
      </c>
      <c r="J5" t="s">
        <v>167</v>
      </c>
      <c r="K5" t="s">
        <v>163</v>
      </c>
      <c r="L5">
        <v>117</v>
      </c>
      <c r="M5">
        <v>100</v>
      </c>
      <c r="N5" t="s">
        <v>168</v>
      </c>
      <c r="O5">
        <v>396</v>
      </c>
      <c r="P5" t="s">
        <v>71</v>
      </c>
      <c r="S5" t="s">
        <v>48</v>
      </c>
      <c r="T5">
        <v>1668</v>
      </c>
      <c r="U5">
        <v>4882</v>
      </c>
    </row>
    <row r="6" spans="1:21" x14ac:dyDescent="0.4">
      <c r="A6">
        <v>5034</v>
      </c>
      <c r="B6" t="s">
        <v>110</v>
      </c>
      <c r="C6" t="s">
        <v>108</v>
      </c>
      <c r="D6" t="s">
        <v>109</v>
      </c>
      <c r="E6">
        <v>2017</v>
      </c>
      <c r="F6">
        <v>3</v>
      </c>
      <c r="G6" t="s">
        <v>77</v>
      </c>
      <c r="H6">
        <v>3178</v>
      </c>
      <c r="I6" t="s">
        <v>161</v>
      </c>
      <c r="J6">
        <v>3000</v>
      </c>
      <c r="K6" t="s">
        <v>164</v>
      </c>
      <c r="L6">
        <v>124</v>
      </c>
      <c r="M6">
        <v>120</v>
      </c>
      <c r="N6">
        <v>100</v>
      </c>
      <c r="O6">
        <v>400</v>
      </c>
      <c r="P6" t="s">
        <v>71</v>
      </c>
      <c r="S6" t="s">
        <v>48</v>
      </c>
      <c r="T6">
        <v>1668</v>
      </c>
      <c r="U6">
        <v>6700</v>
      </c>
    </row>
    <row r="7" spans="1:21" x14ac:dyDescent="0.4">
      <c r="A7">
        <v>5036</v>
      </c>
      <c r="B7" t="s">
        <v>111</v>
      </c>
      <c r="C7" t="s">
        <v>108</v>
      </c>
      <c r="D7" t="s">
        <v>109</v>
      </c>
      <c r="E7">
        <v>2017</v>
      </c>
      <c r="F7">
        <v>3</v>
      </c>
      <c r="G7" t="s">
        <v>77</v>
      </c>
      <c r="H7">
        <v>3178</v>
      </c>
      <c r="I7" t="s">
        <v>161</v>
      </c>
      <c r="J7">
        <v>3000</v>
      </c>
      <c r="K7" t="s">
        <v>164</v>
      </c>
      <c r="L7">
        <v>124</v>
      </c>
      <c r="M7">
        <v>120</v>
      </c>
      <c r="N7">
        <v>100</v>
      </c>
      <c r="O7">
        <v>400</v>
      </c>
      <c r="P7" t="s">
        <v>71</v>
      </c>
      <c r="S7" t="s">
        <v>48</v>
      </c>
      <c r="T7">
        <v>1668</v>
      </c>
      <c r="U7">
        <v>6700</v>
      </c>
    </row>
    <row r="8" spans="1:21" x14ac:dyDescent="0.4">
      <c r="A8">
        <v>335001</v>
      </c>
      <c r="C8" t="s">
        <v>108</v>
      </c>
      <c r="D8" t="s">
        <v>109</v>
      </c>
      <c r="E8">
        <v>2019</v>
      </c>
      <c r="F8">
        <v>3</v>
      </c>
      <c r="G8" t="s">
        <v>77</v>
      </c>
      <c r="H8">
        <v>3178</v>
      </c>
      <c r="I8" t="s">
        <v>161</v>
      </c>
      <c r="J8">
        <v>3000</v>
      </c>
      <c r="K8" t="s">
        <v>164</v>
      </c>
      <c r="L8">
        <v>124</v>
      </c>
      <c r="M8">
        <v>120</v>
      </c>
      <c r="N8">
        <v>100</v>
      </c>
      <c r="O8">
        <v>400</v>
      </c>
      <c r="P8" t="s">
        <v>71</v>
      </c>
      <c r="S8" t="s">
        <v>105</v>
      </c>
      <c r="T8">
        <v>1668</v>
      </c>
      <c r="U8">
        <v>6700</v>
      </c>
    </row>
    <row r="9" spans="1:21" x14ac:dyDescent="0.4">
      <c r="A9">
        <v>335003</v>
      </c>
      <c r="C9" t="s">
        <v>108</v>
      </c>
      <c r="D9" t="s">
        <v>109</v>
      </c>
      <c r="E9">
        <v>2019</v>
      </c>
      <c r="F9">
        <v>3</v>
      </c>
      <c r="G9" t="s">
        <v>77</v>
      </c>
      <c r="H9">
        <v>3178</v>
      </c>
      <c r="I9" t="s">
        <v>161</v>
      </c>
      <c r="J9">
        <v>3000</v>
      </c>
      <c r="K9" t="s">
        <v>164</v>
      </c>
      <c r="L9">
        <v>124</v>
      </c>
      <c r="M9">
        <v>120</v>
      </c>
      <c r="N9">
        <v>100</v>
      </c>
      <c r="O9">
        <v>400</v>
      </c>
      <c r="P9" t="s">
        <v>71</v>
      </c>
      <c r="S9" t="s">
        <v>105</v>
      </c>
      <c r="T9">
        <v>1668</v>
      </c>
      <c r="U9">
        <v>6700</v>
      </c>
    </row>
    <row r="11" spans="1:21" x14ac:dyDescent="0.4">
      <c r="C11" t="str">
        <f>"INSERT INTO Bogies (id, nameBogie, numberBogies) VALUES (1, '"&amp;G2&amp;"', "&amp;F2&amp;");"</f>
        <v>INSERT INTO Bogies (id, nameBogie, numberBogies) VALUES (1, 'Bo-Bo', 2);</v>
      </c>
    </row>
    <row r="12" spans="1:21" x14ac:dyDescent="0.4">
      <c r="C12" t="str">
        <f>"INSERT INTO Bogies (id, nameBogie, numberBogies) VALUES (2, '"&amp;G5&amp;"', "&amp;F5&amp;");"</f>
        <v>INSERT INTO Bogies (id, nameBogie, numberBogies) VALUES (2, 'Co-Co', 2);</v>
      </c>
    </row>
    <row r="13" spans="1:21" x14ac:dyDescent="0.4">
      <c r="C13" t="str">
        <f>"INSERT INTO Bogies (id, nameBogie, numberBogies) VALUES (3, '"&amp;G6&amp;"', "&amp;F6&amp;");"</f>
        <v>INSERT INTO Bogies (id, nameBogie, numberBogies) VALUES (3, 'Co-Co', 3);</v>
      </c>
    </row>
    <row r="14" spans="1:21" x14ac:dyDescent="0.4">
      <c r="C14" t="str">
        <f>"INSERT INTO Bogies (id, nameBogie, numberBogies) VALUES (4, '"&amp;'Wagon Model'!E6&amp;"', "&amp;'Wagon Model'!D6&amp;");"</f>
        <v>INSERT INTO Bogies (id, nameBogie, numberBogies) VALUES (4, 'Simples', 2);</v>
      </c>
    </row>
    <row r="15" spans="1:21" x14ac:dyDescent="0.4">
      <c r="C15" t="str">
        <f>"INSERT INTO Bogies (id, nameBogie, numberBogies) VALUES (5, '"&amp;'Wagon Model'!E7&amp;"', "&amp;'Wagon Model'!D7&amp;");"</f>
        <v>INSERT INTO Bogies (id, nameBogie, numberBogies) VALUES (5, 'Duplo', 2);</v>
      </c>
    </row>
    <row r="18" spans="3:3" x14ac:dyDescent="0.4">
      <c r="C18" t="str">
        <f>"INSERT INTO LocomotiveModel (id, make, modelName, power, maxSpeed, weight, length, width, height, traction, bogiesId) VALUES (1,'"&amp;C2&amp;"','"&amp;D2&amp;"',"&amp;H2&amp;","&amp;M2&amp;","&amp;L2&amp;","&amp;I2&amp;","&amp;J2&amp;","&amp;K2&amp;","&amp;O2&amp;",1);"</f>
        <v>INSERT INTO LocomotiveModel (id, make, modelName, power, maxSpeed, weight, length, width, height, traction, bogiesId) VALUES (1,'Siemens','Eurosprinter',5600,220,87,19.2,3,4.375,300,1);</v>
      </c>
    </row>
    <row r="19" spans="3:3" x14ac:dyDescent="0.4">
      <c r="C19" t="str">
        <f>"INSERT INTO LocomotiveModel (id, make, modelName, power, maxSpeed, weight, length, width, height, traction, bogiesId) VALUES (2,'"&amp;C5&amp;"','"&amp;D5&amp;"',"&amp;H5&amp;","&amp;M5&amp;","&amp;L5&amp;","&amp;I5&amp;","&amp;J5&amp;","&amp;K5&amp;","&amp;O5&amp;",2);"</f>
        <v>INSERT INTO LocomotiveModel (id, make, modelName, power, maxSpeed, weight, length, width, height, traction, bogiesId) VALUES (2,'Sorefame - Alsthom','CP 1900',1623,100,117,19.084,3.062,4.31,396,2);</v>
      </c>
    </row>
    <row r="20" spans="3:3" x14ac:dyDescent="0.4">
      <c r="C20" t="str">
        <f>"INSERT INTO LocomotiveModel (id, make, modelName, power, maxSpeed, weight, length, width, height, traction, bogiesId) VALUES (3,'"&amp;C6&amp;"','"&amp;D6&amp;"',"&amp;H6&amp;","&amp;M6&amp;","&amp;L6&amp;","&amp;I6&amp;","&amp;J6&amp;","&amp;K6&amp;","&amp;O6&amp;",3);"</f>
        <v>INSERT INTO LocomotiveModel (id, make, modelName, power, maxSpeed, weight, length, width, height, traction, bogiesId) VALUES (3,'Stadler','E4000',3178,120,124,23.02,3000,4.264,400,3);</v>
      </c>
    </row>
    <row r="22" spans="3:3" x14ac:dyDescent="0.4">
      <c r="C22" t="str">
        <f>"INSERT INTO Electric (id, voltage, frequency, locomotiveModelId) VALUES (1, "&amp;Q2&amp;","&amp;R2&amp;",1);"</f>
        <v>INSERT INTO Electric (id, voltage, frequency, locomotiveModelId) VALUES (1, 25000,50,1);</v>
      </c>
    </row>
    <row r="23" spans="3:3" x14ac:dyDescent="0.4">
      <c r="C23" t="str">
        <f>"INSERT INTO Diesel (id, combustivelCapacity, locomotiveModelId) VALUES (1, "&amp;U5&amp;",2);"</f>
        <v>INSERT INTO Diesel (id, combustivelCapacity, locomotiveModelId) VALUES (1, 4882,2);</v>
      </c>
    </row>
    <row r="24" spans="3:3" x14ac:dyDescent="0.4">
      <c r="C24" t="str">
        <f>"INSERT INTO Diesel (id, combustivelCapacity, locomotiveModelId) VALUES (2, "&amp;U6&amp;",3);"</f>
        <v>INSERT INTO Diesel (id, combustivelCapacity, locomotiveModelId) VALUES (2, 6700,3);</v>
      </c>
    </row>
    <row r="26" spans="3:3" x14ac:dyDescent="0.4">
      <c r="C26" t="str">
        <f>"INSERT INTO Locomotive (numberLocomotive, name, yearOfEntry, operationalSpeed, model) VALUES ("&amp;A2&amp;",'"&amp;B2&amp;"',"&amp;E2&amp;","&amp;N2&amp;",1);"</f>
        <v>INSERT INTO Locomotive (numberLocomotive, name, yearOfEntry, operationalSpeed, model) VALUES (5621,'Inês',1995,70,1);</v>
      </c>
    </row>
    <row r="27" spans="3:3" x14ac:dyDescent="0.4">
      <c r="C27" t="str">
        <f t="shared" ref="C27:C28" si="0">"INSERT INTO Locomotive (numberLocomotive, name, yearOfEntry, operationalSpeed, model) VALUES ("&amp;A3&amp;",'"&amp;B3&amp;"',"&amp;E3&amp;","&amp;N3&amp;",1);"</f>
        <v>INSERT INTO Locomotive (numberLocomotive, name, yearOfEntry, operationalSpeed, model) VALUES (5623,'Paz',1995,70,1);</v>
      </c>
    </row>
    <row r="28" spans="3:3" x14ac:dyDescent="0.4">
      <c r="C28" t="str">
        <f t="shared" si="0"/>
        <v>INSERT INTO Locomotive (numberLocomotive, name, yearOfEntry, operationalSpeed, model) VALUES (5630,'Helena',1996,70,1);</v>
      </c>
    </row>
    <row r="29" spans="3:3" x14ac:dyDescent="0.4">
      <c r="C29" t="str">
        <f>"INSERT INTO Locomotive (numberLocomotive, name, yearOfEntry, operationalSpeed, model) VALUES ("&amp;A5&amp;",'"&amp;B5&amp;"',"&amp;E5&amp;","&amp;N5&amp;",2);"</f>
        <v>INSERT INTO Locomotive (numberLocomotive, name, yearOfEntry, operationalSpeed, model) VALUES (1903,'Eva',1981,42.5,2);</v>
      </c>
    </row>
    <row r="30" spans="3:3" x14ac:dyDescent="0.4">
      <c r="C30" t="str">
        <f>"INSERT INTO Locomotive (numberLocomotive, name, yearOfEntry, operationalSpeed, model) VALUES ("&amp;A6&amp;",'"&amp;B6&amp;"',"&amp;E6&amp;","&amp;N6&amp;",3);"</f>
        <v>INSERT INTO Locomotive (numberLocomotive, name, yearOfEntry, operationalSpeed, model) VALUES (5034,'Adriana',2017,100,3);</v>
      </c>
    </row>
    <row r="31" spans="3:3" x14ac:dyDescent="0.4">
      <c r="C31" t="str">
        <f>"INSERT INTO Locomotive (numberLocomotive, name, yearOfEntry, operationalSpeed, model) VALUES ("&amp;A7&amp;",'"&amp;B7&amp;"',"&amp;E7&amp;","&amp;N7&amp;",3);"</f>
        <v>INSERT INTO Locomotive (numberLocomotive, name, yearOfEntry, operationalSpeed, model) VALUES (5036,'Marina',2017,100,3);</v>
      </c>
    </row>
    <row r="32" spans="3:3" x14ac:dyDescent="0.4">
      <c r="C32" t="str">
        <f>"INSERT INTO Locomotive (numberLocomotive, name, yearOfEntry, operationalSpeed, model) VALUES ("&amp;A8&amp;",'"&amp;B8&amp;"',"&amp;E8&amp;","&amp;N8&amp;",3);"</f>
        <v>INSERT INTO Locomotive (numberLocomotive, name, yearOfEntry, operationalSpeed, model) VALUES (335001,'',2019,100,3);</v>
      </c>
    </row>
    <row r="33" spans="3:3" x14ac:dyDescent="0.4">
      <c r="C33" t="str">
        <f>"INSERT INTO Locomotive (numberLocomotive, name, yearOfEntry, operationalSpeed, model) VALUES ("&amp;A9&amp;",'"&amp;B9&amp;"',"&amp;E9&amp;","&amp;N9&amp;",3);"</f>
        <v>INSERT INTO Locomotive (numberLocomotive, name, yearOfEntry, operationalSpeed, model) VALUES (335003,'',2019,100,3);</v>
      </c>
    </row>
    <row r="35" spans="3:3" x14ac:dyDescent="0.4">
      <c r="C35" t="str">
        <f>"INSERT INTO LocomotiveOperator(locomotiveNumber,operatorVatNumber) VALUES ("&amp;A2&amp;",'PT509017800');"</f>
        <v>INSERT INTO LocomotiveOperator(locomotiveNumber,operatorVatNumber) VALUES (5621,'PT509017800');</v>
      </c>
    </row>
    <row r="36" spans="3:3" x14ac:dyDescent="0.4">
      <c r="C36" t="str">
        <f t="shared" ref="C36:C40" si="1">"INSERT INTO LocomotiveOperator(locomotiveNumber,operatorVatNumber) VALUES ("&amp;A3&amp;",'PT509017800');"</f>
        <v>INSERT INTO LocomotiveOperator(locomotiveNumber,operatorVatNumber) VALUES (5623,'PT509017800');</v>
      </c>
    </row>
    <row r="37" spans="3:3" x14ac:dyDescent="0.4">
      <c r="C37" t="str">
        <f t="shared" si="1"/>
        <v>INSERT INTO LocomotiveOperator(locomotiveNumber,operatorVatNumber) VALUES (5630,'PT509017800');</v>
      </c>
    </row>
    <row r="38" spans="3:3" x14ac:dyDescent="0.4">
      <c r="C38" t="str">
        <f t="shared" si="1"/>
        <v>INSERT INTO LocomotiveOperator(locomotiveNumber,operatorVatNumber) VALUES (1903,'PT509017800');</v>
      </c>
    </row>
    <row r="39" spans="3:3" x14ac:dyDescent="0.4">
      <c r="C39" t="str">
        <f t="shared" si="1"/>
        <v>INSERT INTO LocomotiveOperator(locomotiveNumber,operatorVatNumber) VALUES (5034,'PT509017800');</v>
      </c>
    </row>
    <row r="40" spans="3:3" x14ac:dyDescent="0.4">
      <c r="C40" t="str">
        <f t="shared" si="1"/>
        <v>INSERT INTO LocomotiveOperator(locomotiveNumber,operatorVatNumber) VALUES (5036,'PT509017800');</v>
      </c>
    </row>
    <row r="41" spans="3:3" x14ac:dyDescent="0.4">
      <c r="C41" t="str">
        <f>"INSERT INTO LocomotiveOperator(locomotiveNumber,operatorVatNumber) VALUES ("&amp;A8&amp;",'PT507832388');"</f>
        <v>INSERT INTO LocomotiveOperator(locomotiveNumber,operatorVatNumber) VALUES (335001,'PT507832388');</v>
      </c>
    </row>
    <row r="42" spans="3:3" x14ac:dyDescent="0.4">
      <c r="C42" t="str">
        <f>"INSERT INTO LocomotiveOperator(locomotiveNumber,operatorVatNumber) VALUES ("&amp;A9&amp;",'PT507832388');"</f>
        <v>INSERT INTO LocomotiveOperator(locomotiveNumber,operatorVatNumber) VALUES (335003,'PT507832388');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3181-493E-2843-91BA-0E16E569EF54}">
  <dimension ref="A1:P29"/>
  <sheetViews>
    <sheetView workbookViewId="0">
      <selection activeCell="L5" sqref="L5"/>
    </sheetView>
  </sheetViews>
  <sheetFormatPr defaultColWidth="10.6640625" defaultRowHeight="16" x14ac:dyDescent="0.4"/>
  <cols>
    <col min="2" max="2" width="17.5" bestFit="1" customWidth="1"/>
    <col min="4" max="4" width="13.33203125" bestFit="1" customWidth="1"/>
    <col min="13" max="13" width="27.33203125" bestFit="1" customWidth="1"/>
  </cols>
  <sheetData>
    <row r="1" spans="1:16" x14ac:dyDescent="0.4">
      <c r="A1" t="s">
        <v>0</v>
      </c>
      <c r="B1" t="s">
        <v>52</v>
      </c>
      <c r="C1" t="s">
        <v>81</v>
      </c>
      <c r="D1" t="s">
        <v>75</v>
      </c>
      <c r="E1" t="s">
        <v>76</v>
      </c>
      <c r="F1" t="s">
        <v>36</v>
      </c>
      <c r="G1" t="s">
        <v>55</v>
      </c>
      <c r="H1" t="s">
        <v>56</v>
      </c>
      <c r="I1" t="s">
        <v>74</v>
      </c>
      <c r="J1" t="s">
        <v>57</v>
      </c>
      <c r="K1" t="s">
        <v>84</v>
      </c>
      <c r="L1" t="s">
        <v>85</v>
      </c>
      <c r="M1" t="s">
        <v>58</v>
      </c>
      <c r="N1" t="s">
        <v>62</v>
      </c>
    </row>
    <row r="2" spans="1:16" x14ac:dyDescent="0.4">
      <c r="A2">
        <v>1245</v>
      </c>
      <c r="B2" t="s">
        <v>83</v>
      </c>
      <c r="C2" t="s">
        <v>80</v>
      </c>
      <c r="D2">
        <v>2</v>
      </c>
      <c r="E2" t="s">
        <v>82</v>
      </c>
      <c r="F2">
        <v>17240</v>
      </c>
      <c r="G2">
        <v>3072</v>
      </c>
      <c r="H2">
        <v>4270</v>
      </c>
      <c r="I2">
        <v>24</v>
      </c>
      <c r="J2">
        <v>120</v>
      </c>
      <c r="K2">
        <v>56</v>
      </c>
      <c r="L2">
        <v>75</v>
      </c>
      <c r="M2" t="s">
        <v>86</v>
      </c>
      <c r="N2">
        <v>1668</v>
      </c>
      <c r="P2" t="str">
        <f>"INSERT INTO GaugeWagonModel (gaugeId, wagonModelId) VALUES (1,'"&amp;A2&amp;"');"</f>
        <v>INSERT INTO GaugeWagonModel (gaugeId, wagonModelId) VALUES (1,'1245');</v>
      </c>
    </row>
    <row r="3" spans="1:16" x14ac:dyDescent="0.4">
      <c r="A3">
        <v>1278</v>
      </c>
      <c r="B3" t="s">
        <v>88</v>
      </c>
      <c r="C3" t="s">
        <v>87</v>
      </c>
      <c r="D3">
        <v>2</v>
      </c>
      <c r="E3" t="s">
        <v>82</v>
      </c>
      <c r="F3">
        <v>9640</v>
      </c>
      <c r="G3">
        <v>3120</v>
      </c>
      <c r="H3" t="s">
        <v>159</v>
      </c>
      <c r="I3" t="s">
        <v>152</v>
      </c>
      <c r="J3">
        <v>100</v>
      </c>
      <c r="K3" t="s">
        <v>142</v>
      </c>
      <c r="L3">
        <v>38</v>
      </c>
      <c r="M3" t="s">
        <v>86</v>
      </c>
      <c r="N3">
        <v>1668</v>
      </c>
      <c r="P3" t="str">
        <f t="shared" ref="P3:P11" si="0">"INSERT INTO GaugeWagonModel (gaugeId, wagonModelId) VALUES (1,'"&amp;A3&amp;"');"</f>
        <v>INSERT INTO GaugeWagonModel (gaugeId, wagonModelId) VALUES (1,'1278');</v>
      </c>
    </row>
    <row r="4" spans="1:16" x14ac:dyDescent="0.4">
      <c r="A4">
        <v>1325</v>
      </c>
      <c r="B4" t="s">
        <v>89</v>
      </c>
      <c r="C4" t="s">
        <v>90</v>
      </c>
      <c r="D4">
        <v>2</v>
      </c>
      <c r="E4" t="s">
        <v>82</v>
      </c>
      <c r="F4">
        <v>21700</v>
      </c>
      <c r="G4">
        <v>3180</v>
      </c>
      <c r="H4">
        <v>4170</v>
      </c>
      <c r="I4" t="s">
        <v>153</v>
      </c>
      <c r="J4">
        <v>100</v>
      </c>
      <c r="K4" t="s">
        <v>143</v>
      </c>
      <c r="L4">
        <v>110</v>
      </c>
      <c r="M4" t="s">
        <v>91</v>
      </c>
      <c r="N4">
        <v>1668</v>
      </c>
      <c r="P4" t="str">
        <f t="shared" si="0"/>
        <v>INSERT INTO GaugeWagonModel (gaugeId, wagonModelId) VALUES (1,'1325');</v>
      </c>
    </row>
    <row r="5" spans="1:16" x14ac:dyDescent="0.4">
      <c r="A5">
        <v>1104</v>
      </c>
      <c r="B5" t="s">
        <v>92</v>
      </c>
      <c r="C5" t="s">
        <v>80</v>
      </c>
      <c r="D5">
        <v>2</v>
      </c>
      <c r="E5" t="s">
        <v>82</v>
      </c>
      <c r="F5">
        <v>14040</v>
      </c>
      <c r="G5">
        <v>3104</v>
      </c>
      <c r="H5">
        <v>2535</v>
      </c>
      <c r="I5" t="s">
        <v>154</v>
      </c>
      <c r="J5">
        <v>120</v>
      </c>
      <c r="K5" t="s">
        <v>144</v>
      </c>
      <c r="L5" t="s">
        <v>149</v>
      </c>
      <c r="M5" t="s">
        <v>93</v>
      </c>
      <c r="N5">
        <v>1668</v>
      </c>
      <c r="P5" t="str">
        <f t="shared" si="0"/>
        <v>INSERT INTO GaugeWagonModel (gaugeId, wagonModelId) VALUES (1,'1104');</v>
      </c>
    </row>
    <row r="6" spans="1:16" x14ac:dyDescent="0.4">
      <c r="A6">
        <v>985</v>
      </c>
      <c r="B6" t="s">
        <v>95</v>
      </c>
      <c r="C6" t="s">
        <v>80</v>
      </c>
      <c r="D6">
        <v>2</v>
      </c>
      <c r="E6" t="s">
        <v>96</v>
      </c>
      <c r="F6">
        <v>13860</v>
      </c>
      <c r="G6">
        <v>2850</v>
      </c>
      <c r="H6">
        <v>1060</v>
      </c>
      <c r="I6" t="s">
        <v>155</v>
      </c>
      <c r="J6">
        <v>120</v>
      </c>
      <c r="K6" t="s">
        <v>145</v>
      </c>
      <c r="L6" t="s">
        <v>149</v>
      </c>
      <c r="M6" t="s">
        <v>93</v>
      </c>
      <c r="N6">
        <v>1668</v>
      </c>
      <c r="P6" t="str">
        <f t="shared" si="0"/>
        <v>INSERT INTO GaugeWagonModel (gaugeId, wagonModelId) VALUES (1,'985');</v>
      </c>
    </row>
    <row r="7" spans="1:16" x14ac:dyDescent="0.4">
      <c r="A7">
        <v>987</v>
      </c>
      <c r="B7" t="s">
        <v>98</v>
      </c>
      <c r="C7" t="s">
        <v>97</v>
      </c>
      <c r="D7">
        <v>2</v>
      </c>
      <c r="E7" t="s">
        <v>82</v>
      </c>
      <c r="F7">
        <v>18116</v>
      </c>
      <c r="G7">
        <v>2950</v>
      </c>
      <c r="H7">
        <v>1030</v>
      </c>
      <c r="I7" t="s">
        <v>156</v>
      </c>
      <c r="J7">
        <v>120</v>
      </c>
      <c r="K7" t="s">
        <v>146</v>
      </c>
      <c r="L7" t="s">
        <v>149</v>
      </c>
      <c r="M7" t="s">
        <v>93</v>
      </c>
      <c r="N7">
        <v>1668</v>
      </c>
      <c r="P7" t="str">
        <f t="shared" si="0"/>
        <v>INSERT INTO GaugeWagonModel (gaugeId, wagonModelId) VALUES (1,'987');</v>
      </c>
    </row>
    <row r="8" spans="1:16" x14ac:dyDescent="0.4">
      <c r="A8">
        <v>988</v>
      </c>
      <c r="B8" t="s">
        <v>98</v>
      </c>
      <c r="C8" t="s">
        <v>97</v>
      </c>
      <c r="D8">
        <v>2</v>
      </c>
      <c r="E8" t="s">
        <v>82</v>
      </c>
      <c r="F8">
        <v>18116</v>
      </c>
      <c r="G8">
        <v>2950</v>
      </c>
      <c r="H8">
        <v>1030</v>
      </c>
      <c r="I8" t="s">
        <v>156</v>
      </c>
      <c r="J8">
        <v>120</v>
      </c>
      <c r="K8" t="s">
        <v>146</v>
      </c>
      <c r="L8" t="s">
        <v>149</v>
      </c>
      <c r="M8" t="s">
        <v>93</v>
      </c>
      <c r="N8">
        <v>1435</v>
      </c>
      <c r="P8" t="str">
        <f>"INSERT INTO GaugeWagonModel (gaugeId, wagonModelId) VALUES (2,'"&amp;A8&amp;"');"</f>
        <v>INSERT INTO GaugeWagonModel (gaugeId, wagonModelId) VALUES (2,'988');</v>
      </c>
    </row>
    <row r="9" spans="1:16" x14ac:dyDescent="0.4">
      <c r="A9">
        <v>1525</v>
      </c>
      <c r="B9" t="s">
        <v>99</v>
      </c>
      <c r="C9" t="s">
        <v>87</v>
      </c>
      <c r="D9">
        <v>2</v>
      </c>
      <c r="E9" t="s">
        <v>82</v>
      </c>
      <c r="F9">
        <v>13800</v>
      </c>
      <c r="G9">
        <v>2950</v>
      </c>
      <c r="H9">
        <v>4226</v>
      </c>
      <c r="I9" t="s">
        <v>157</v>
      </c>
      <c r="J9">
        <v>120</v>
      </c>
      <c r="K9" t="s">
        <v>147</v>
      </c>
      <c r="L9" t="s">
        <v>150</v>
      </c>
      <c r="M9" t="s">
        <v>100</v>
      </c>
      <c r="N9">
        <v>1668</v>
      </c>
      <c r="P9" t="str">
        <f t="shared" si="0"/>
        <v>INSERT INTO GaugeWagonModel (gaugeId, wagonModelId) VALUES (1,'1525');</v>
      </c>
    </row>
    <row r="10" spans="1:16" x14ac:dyDescent="0.4">
      <c r="A10">
        <v>1523</v>
      </c>
      <c r="B10" t="s">
        <v>99</v>
      </c>
      <c r="C10" t="s">
        <v>87</v>
      </c>
      <c r="D10">
        <v>2</v>
      </c>
      <c r="E10" t="s">
        <v>82</v>
      </c>
      <c r="F10">
        <v>13800</v>
      </c>
      <c r="G10">
        <v>2950</v>
      </c>
      <c r="H10">
        <v>4226</v>
      </c>
      <c r="I10" t="s">
        <v>157</v>
      </c>
      <c r="J10">
        <v>120</v>
      </c>
      <c r="K10" t="s">
        <v>147</v>
      </c>
      <c r="L10" t="s">
        <v>150</v>
      </c>
      <c r="M10" t="s">
        <v>100</v>
      </c>
      <c r="N10">
        <v>1435</v>
      </c>
      <c r="P10" t="str">
        <f>"INSERT INTO GaugeWagonModel (gaugeId, wagonModelId) VALUES (2,'"&amp;A10&amp;"');"</f>
        <v>INSERT INTO GaugeWagonModel (gaugeId, wagonModelId) VALUES (2,'1523');</v>
      </c>
    </row>
    <row r="11" spans="1:16" x14ac:dyDescent="0.4">
      <c r="A11">
        <v>1212</v>
      </c>
      <c r="B11" t="s">
        <v>101</v>
      </c>
      <c r="C11" t="s">
        <v>102</v>
      </c>
      <c r="D11">
        <v>2</v>
      </c>
      <c r="E11" t="s">
        <v>96</v>
      </c>
      <c r="F11">
        <v>14020</v>
      </c>
      <c r="G11">
        <v>2842</v>
      </c>
      <c r="H11">
        <v>3300</v>
      </c>
      <c r="I11" t="s">
        <v>158</v>
      </c>
      <c r="J11">
        <v>100</v>
      </c>
      <c r="K11" t="s">
        <v>148</v>
      </c>
      <c r="L11" t="s">
        <v>151</v>
      </c>
      <c r="M11" t="s">
        <v>103</v>
      </c>
      <c r="N11">
        <v>1668</v>
      </c>
      <c r="P11" t="str">
        <f t="shared" si="0"/>
        <v>INSERT INTO GaugeWagonModel (gaugeId, wagonModelId) VALUES (1,'1212');</v>
      </c>
    </row>
    <row r="14" spans="1:16" x14ac:dyDescent="0.4">
      <c r="B14" t="str">
        <f>"INSERT INTO WagonsType (id, description) VALUES (1,'"&amp;M3&amp;"');"</f>
        <v>INSERT INTO WagonsType (id, description) VALUES (1,'Cereal wagon');</v>
      </c>
    </row>
    <row r="15" spans="1:16" x14ac:dyDescent="0.4">
      <c r="B15" t="str">
        <f>"INSERT INTO WagonsType (id, description) VALUES (2,'"&amp;M4&amp;"');"</f>
        <v>INSERT INTO WagonsType (id, description) VALUES (2,'Covered wagon with sliding door');</v>
      </c>
    </row>
    <row r="16" spans="1:16" x14ac:dyDescent="0.4">
      <c r="B16" t="str">
        <f>"INSERT INTO WagonsType (id, description) VALUES (3,'"&amp;M5&amp;"');"</f>
        <v>INSERT INTO WagonsType (id, description) VALUES (3,'Container wagon (max 40'' HC)');</v>
      </c>
    </row>
    <row r="17" spans="2:2" x14ac:dyDescent="0.4">
      <c r="B17" t="str">
        <f>"INSERT INTO WagonsType (id, description) VALUES (4,'"&amp;M9&amp;"');"</f>
        <v>INSERT INTO WagonsType (id, description) VALUES (4,'Biodiesel wagaon');</v>
      </c>
    </row>
    <row r="18" spans="2:2" x14ac:dyDescent="0.4">
      <c r="B18" t="str">
        <f>"INSERT INTO WagonsType (id, description) VALUES (5,'"&amp;M11&amp;"');"</f>
        <v>INSERT INTO WagonsType (id, description) VALUES (5,'Wood wagon');</v>
      </c>
    </row>
    <row r="20" spans="2:2" x14ac:dyDescent="0.4">
      <c r="B20" t="str">
        <f>"INSERT INTO WagonModel (id, nameModel, maker, length, width, height, maxSpeed, payload, volume, bogiesId, wagonsTypeId) VALUES ("&amp;A2&amp;",'"&amp;B2&amp;"','"&amp;C2&amp;"',"&amp;F2&amp;","&amp;G2&amp;","&amp;H2&amp;","&amp;J2&amp;","&amp;K2&amp;","&amp;L2&amp;",5,1);"</f>
        <v>INSERT INTO WagonModel (id, nameModel, maker, length, width, height, maxSpeed, payload, volume, bogiesId, wagonsTypeId) VALUES (1245,'Tadgs 32 94 082 3','Metalsines',17240,3072,4270,120,56,75,5,1);</v>
      </c>
    </row>
    <row r="21" spans="2:2" x14ac:dyDescent="0.4">
      <c r="B21" t="str">
        <f t="shared" ref="B21" si="1">"INSERT INTO WagonModel (id, nameModel, maker, length, width, height, maxSpeed, payload, volume, bogiesId, wagonsTypeId) VALUES ("&amp;A3&amp;",'"&amp;B3&amp;"','"&amp;C3&amp;"',"&amp;F3&amp;","&amp;G3&amp;","&amp;H3&amp;","&amp;J3&amp;","&amp;K3&amp;","&amp;L3&amp;",5,1);"</f>
        <v>INSERT INTO WagonModel (id, nameModel, maker, length, width, height, maxSpeed, payload, volume, bogiesId, wagonsTypeId) VALUES (1278,'Tdgs 41 94 074 1','Equimetal',9640,3120,4165.5,100,26.2,38,5,1);</v>
      </c>
    </row>
    <row r="22" spans="2:2" x14ac:dyDescent="0.4">
      <c r="B22" t="str">
        <f>"INSERT INTO WagonModel (id, nameModel, maker, length, width, height, maxSpeed, payload, volume, bogiesId, wagonsTypeId) VALUES ("&amp;A4&amp;",'"&amp;B4&amp;"','"&amp;C4&amp;"',"&amp;F4&amp;","&amp;G4&amp;","&amp;H4&amp;","&amp;J4&amp;","&amp;K4&amp;","&amp;L4&amp;",5,2);"</f>
        <v>INSERT INTO WagonModel (id, nameModel, maker, length, width, height, maxSpeed, payload, volume, bogiesId, wagonsTypeId) VALUES (1325,'Gabs 81 94 181 1','Sepsa Cometna',21700,3180,4170,100,50.2,110,5,2);</v>
      </c>
    </row>
    <row r="23" spans="2:2" x14ac:dyDescent="0.4">
      <c r="B23" t="str">
        <f>"INSERT INTO WagonModel (id, nameModel, maker, length, width, height, maxSpeed, payload, volume, bogiesId, wagonsTypeId) VALUES ("&amp;A5&amp;",'"&amp;B5&amp;"','"&amp;C5&amp;"',"&amp;F5&amp;","&amp;G5&amp;","&amp;H5&amp;","&amp;J5&amp;","&amp;K5&amp;","&amp;L5&amp;",5,3);"</f>
        <v>INSERT INTO WagonModel (id, nameModel, maker, length, width, height, maxSpeed, payload, volume, bogiesId, wagonsTypeId) VALUES (1104,'Regmms 32 94 356 3','Metalsines',14040,3104,2535,120,60.6,76.3,5,3);</v>
      </c>
    </row>
    <row r="24" spans="2:2" x14ac:dyDescent="0.4">
      <c r="B24" t="str">
        <f>"INSERT INTO WagonModel (id, nameModel, maker, length, width, height, maxSpeed, payload, volume, bogiesId, wagonsTypeId) VALUES ("&amp;A6&amp;",'"&amp;B6&amp;"','"&amp;C6&amp;"',"&amp;F6&amp;","&amp;G6&amp;","&amp;H6&amp;","&amp;J6&amp;","&amp;K6&amp;","&amp;L6&amp;",4,3);"</f>
        <v>INSERT INTO WagonModel (id, nameModel, maker, length, width, height, maxSpeed, payload, volume, bogiesId, wagonsTypeId) VALUES (985,'Lgs 22 94 441 6','Metalsines',13860,2850,1060,120,28.1,76.3,4,3);</v>
      </c>
    </row>
    <row r="25" spans="2:2" x14ac:dyDescent="0.4">
      <c r="B25" t="str">
        <f>"INSERT INTO WagonModel (id, nameModel, maker, length, width, height, maxSpeed, payload, volume, bogiesId, wagonsTypeId) VALUES ("&amp;A7&amp;",'"&amp;B7&amp;"','"&amp;C7&amp;"',"&amp;F7&amp;","&amp;G7&amp;","&amp;H7&amp;","&amp;J7&amp;","&amp;K7&amp;","&amp;L7&amp;",5,3);"</f>
        <v>INSERT INTO WagonModel (id, nameModel, maker, length, width, height, maxSpeed, payload, volume, bogiesId, wagonsTypeId) VALUES (987,'Sgnss 12 94 455 2','Emef',18116,2950,1030,120,68.4,76.3,5,3);</v>
      </c>
    </row>
    <row r="26" spans="2:2" x14ac:dyDescent="0.4">
      <c r="B26" t="str">
        <f>"INSERT INTO WagonModel (id, nameModel, maker, length, width, height, maxSpeed, payload, volume, bogiesId, wagonsTypeId) VALUES ("&amp;A8&amp;",'"&amp;B8&amp;"','"&amp;C8&amp;"',"&amp;F8&amp;","&amp;G8&amp;","&amp;H8&amp;","&amp;J8&amp;","&amp;K8&amp;","&amp;L8&amp;",5,3);"</f>
        <v>INSERT INTO WagonModel (id, nameModel, maker, length, width, height, maxSpeed, payload, volume, bogiesId, wagonsTypeId) VALUES (988,'Sgnss 12 94 455 2','Emef',18116,2950,1030,120,68.4,76.3,5,3);</v>
      </c>
    </row>
    <row r="27" spans="2:2" x14ac:dyDescent="0.4">
      <c r="B27" t="str">
        <f>"INSERT INTO WagonModel (id, nameModel, maker, length, width, height, maxSpeed, payload, volume, bogiesId, wagonsTypeId) VALUES ("&amp;A9&amp;",'"&amp;B9&amp;"','"&amp;C9&amp;"',"&amp;F9&amp;","&amp;G9&amp;","&amp;H9&amp;","&amp;J9&amp;","&amp;K9&amp;","&amp;L9&amp;",5,4);"</f>
        <v>INSERT INTO WagonModel (id, nameModel, maker, length, width, height, maxSpeed, payload, volume, bogiesId, wagonsTypeId) VALUES (1525,'Zaes 81 94 788','Equimetal',13800,2950,4226,120,57.1,64.6,5,4);</v>
      </c>
    </row>
    <row r="28" spans="2:2" x14ac:dyDescent="0.4">
      <c r="B28" t="str">
        <f>"INSERT INTO WagonModel (id, nameModel, maker, length, width, height, maxSpeed, payload, volume, bogiesId, wagonsTypeId) VALUES ("&amp;A10&amp;",'"&amp;B10&amp;"','"&amp;C10&amp;"',"&amp;F10&amp;","&amp;G10&amp;","&amp;H10&amp;","&amp;J10&amp;","&amp;K10&amp;","&amp;L10&amp;",5,4);"</f>
        <v>INSERT INTO WagonModel (id, nameModel, maker, length, width, height, maxSpeed, payload, volume, bogiesId, wagonsTypeId) VALUES (1523,'Zaes 81 94 788','Equimetal',13800,2950,4226,120,57.1,64.6,5,4);</v>
      </c>
    </row>
    <row r="29" spans="2:2" x14ac:dyDescent="0.4">
      <c r="B29" t="str">
        <f>"INSERT INTO WagonModel (id, nameModel, maker, length, width, height, maxSpeed, payload, volume, bogiesId, wagonsTypeId) VALUES ("&amp;A11&amp;",'"&amp;B11&amp;"','"&amp;C11&amp;"',"&amp;F11&amp;","&amp;G11&amp;","&amp;H11&amp;","&amp;J11&amp;","&amp;K11&amp;","&amp;L11&amp;",4,5);"</f>
        <v>INSERT INTO WagonModel (id, nameModel, maker, length, width, height, maxSpeed, payload, volume, bogiesId, wagonsTypeId) VALUES (1212,'Kbs 41 94 333','Simmering',14020,2842,3300,100,25.8,62.7,4,5);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40B2-04FA-3A44-A184-D1D4735E4021}">
  <dimension ref="A1:F84"/>
  <sheetViews>
    <sheetView topLeftCell="A5" workbookViewId="0">
      <selection activeCell="F54" sqref="F54"/>
    </sheetView>
  </sheetViews>
  <sheetFormatPr defaultColWidth="10.6640625" defaultRowHeight="16" x14ac:dyDescent="0.4"/>
  <cols>
    <col min="2" max="2" width="17.5" bestFit="1" customWidth="1"/>
  </cols>
  <sheetData>
    <row r="1" spans="1:6" x14ac:dyDescent="0.4">
      <c r="A1" t="s">
        <v>67</v>
      </c>
      <c r="B1" t="s">
        <v>52</v>
      </c>
      <c r="C1" t="s">
        <v>61</v>
      </c>
      <c r="D1" t="s">
        <v>94</v>
      </c>
    </row>
    <row r="2" spans="1:6" x14ac:dyDescent="0.4">
      <c r="A2" s="5">
        <v>3563077</v>
      </c>
      <c r="B2" t="s">
        <v>92</v>
      </c>
      <c r="C2" t="s">
        <v>48</v>
      </c>
      <c r="D2">
        <v>1987</v>
      </c>
      <c r="F2" t="str">
        <f>"INSERT INTO Wagon (numberWagon, weight, yearOfEntry, wagonModelId) VALUES ("&amp;A2&amp;", 21.2,"&amp;D2&amp;",1104);"</f>
        <v>INSERT INTO Wagon (numberWagon, weight, yearOfEntry, wagonModelId) VALUES (3563077, 21.2,1987,1104);</v>
      </c>
    </row>
    <row r="3" spans="1:6" x14ac:dyDescent="0.4">
      <c r="A3">
        <v>3563078</v>
      </c>
      <c r="B3" t="s">
        <v>92</v>
      </c>
      <c r="C3" t="s">
        <v>48</v>
      </c>
      <c r="D3">
        <v>1987</v>
      </c>
      <c r="F3" t="str">
        <f t="shared" ref="F3:F17" si="0">"INSERT INTO Wagon (numberWagon, weight, yearOfEntry, wagonModelId) VALUES ("&amp;A3&amp;", 21.2,"&amp;D3&amp;",1104);"</f>
        <v>INSERT INTO Wagon (numberWagon, weight, yearOfEntry, wagonModelId) VALUES (3563078, 21.2,1987,1104);</v>
      </c>
    </row>
    <row r="4" spans="1:6" x14ac:dyDescent="0.4">
      <c r="A4">
        <v>3563079</v>
      </c>
      <c r="B4" t="s">
        <v>92</v>
      </c>
      <c r="C4" t="s">
        <v>48</v>
      </c>
      <c r="D4">
        <v>1987</v>
      </c>
      <c r="F4" t="str">
        <f t="shared" si="0"/>
        <v>INSERT INTO Wagon (numberWagon, weight, yearOfEntry, wagonModelId) VALUES (3563079, 21.2,1987,1104);</v>
      </c>
    </row>
    <row r="5" spans="1:6" x14ac:dyDescent="0.4">
      <c r="A5">
        <v>3563080</v>
      </c>
      <c r="B5" t="s">
        <v>92</v>
      </c>
      <c r="C5" t="s">
        <v>48</v>
      </c>
      <c r="D5">
        <v>1987</v>
      </c>
      <c r="F5" t="str">
        <f t="shared" si="0"/>
        <v>INSERT INTO Wagon (numberWagon, weight, yearOfEntry, wagonModelId) VALUES (3563080, 21.2,1987,1104);</v>
      </c>
    </row>
    <row r="6" spans="1:6" x14ac:dyDescent="0.4">
      <c r="A6">
        <v>3563081</v>
      </c>
      <c r="B6" t="s">
        <v>92</v>
      </c>
      <c r="C6" t="s">
        <v>48</v>
      </c>
      <c r="D6">
        <v>1987</v>
      </c>
      <c r="F6" t="str">
        <f t="shared" si="0"/>
        <v>INSERT INTO Wagon (numberWagon, weight, yearOfEntry, wagonModelId) VALUES (3563081, 21.2,1987,1104);</v>
      </c>
    </row>
    <row r="7" spans="1:6" x14ac:dyDescent="0.4">
      <c r="A7" s="6">
        <v>3563082</v>
      </c>
      <c r="B7" t="s">
        <v>92</v>
      </c>
      <c r="C7" t="s">
        <v>48</v>
      </c>
      <c r="D7">
        <v>1987</v>
      </c>
      <c r="F7" t="str">
        <f t="shared" si="0"/>
        <v>INSERT INTO Wagon (numberWagon, weight, yearOfEntry, wagonModelId) VALUES (3563082, 21.2,1987,1104);</v>
      </c>
    </row>
    <row r="8" spans="1:6" x14ac:dyDescent="0.4">
      <c r="A8" s="6">
        <v>3563083</v>
      </c>
      <c r="B8" t="s">
        <v>92</v>
      </c>
      <c r="C8" t="s">
        <v>48</v>
      </c>
      <c r="D8">
        <v>1987</v>
      </c>
      <c r="F8" t="str">
        <f t="shared" si="0"/>
        <v>INSERT INTO Wagon (numberWagon, weight, yearOfEntry, wagonModelId) VALUES (3563083, 21.2,1987,1104);</v>
      </c>
    </row>
    <row r="9" spans="1:6" x14ac:dyDescent="0.4">
      <c r="A9" s="6">
        <v>3563084</v>
      </c>
      <c r="B9" t="s">
        <v>92</v>
      </c>
      <c r="C9" t="s">
        <v>48</v>
      </c>
      <c r="D9">
        <v>1987</v>
      </c>
      <c r="F9" t="str">
        <f t="shared" si="0"/>
        <v>INSERT INTO Wagon (numberWagon, weight, yearOfEntry, wagonModelId) VALUES (3563084, 21.2,1987,1104);</v>
      </c>
    </row>
    <row r="10" spans="1:6" x14ac:dyDescent="0.4">
      <c r="A10" s="6">
        <v>3563085</v>
      </c>
      <c r="B10" t="s">
        <v>92</v>
      </c>
      <c r="C10" t="s">
        <v>48</v>
      </c>
      <c r="D10">
        <v>1987</v>
      </c>
      <c r="F10" t="str">
        <f t="shared" si="0"/>
        <v>INSERT INTO Wagon (numberWagon, weight, yearOfEntry, wagonModelId) VALUES (3563085, 21.2,1987,1104);</v>
      </c>
    </row>
    <row r="11" spans="1:6" x14ac:dyDescent="0.4">
      <c r="A11" s="6">
        <v>3563086</v>
      </c>
      <c r="B11" t="s">
        <v>92</v>
      </c>
      <c r="C11" t="s">
        <v>48</v>
      </c>
      <c r="D11">
        <v>1987</v>
      </c>
      <c r="F11" t="str">
        <f t="shared" si="0"/>
        <v>INSERT INTO Wagon (numberWagon, weight, yearOfEntry, wagonModelId) VALUES (3563086, 21.2,1987,1104);</v>
      </c>
    </row>
    <row r="12" spans="1:6" x14ac:dyDescent="0.4">
      <c r="A12" s="6">
        <v>3563087</v>
      </c>
      <c r="B12" t="s">
        <v>92</v>
      </c>
      <c r="C12" t="s">
        <v>48</v>
      </c>
      <c r="D12">
        <v>1987</v>
      </c>
      <c r="F12" t="str">
        <f t="shared" si="0"/>
        <v>INSERT INTO Wagon (numberWagon, weight, yearOfEntry, wagonModelId) VALUES (3563087, 21.2,1987,1104);</v>
      </c>
    </row>
    <row r="13" spans="1:6" x14ac:dyDescent="0.4">
      <c r="A13" s="6">
        <v>3563088</v>
      </c>
      <c r="B13" t="s">
        <v>92</v>
      </c>
      <c r="C13" t="s">
        <v>48</v>
      </c>
      <c r="D13">
        <v>1987</v>
      </c>
      <c r="F13" t="str">
        <f t="shared" si="0"/>
        <v>INSERT INTO Wagon (numberWagon, weight, yearOfEntry, wagonModelId) VALUES (3563088, 21.2,1987,1104);</v>
      </c>
    </row>
    <row r="14" spans="1:6" x14ac:dyDescent="0.4">
      <c r="A14" s="6">
        <v>3563089</v>
      </c>
      <c r="B14" t="s">
        <v>92</v>
      </c>
      <c r="C14" t="s">
        <v>48</v>
      </c>
      <c r="D14">
        <v>1987</v>
      </c>
      <c r="F14" t="str">
        <f t="shared" si="0"/>
        <v>INSERT INTO Wagon (numberWagon, weight, yearOfEntry, wagonModelId) VALUES (3563089, 21.2,1987,1104);</v>
      </c>
    </row>
    <row r="15" spans="1:6" x14ac:dyDescent="0.4">
      <c r="A15" s="6">
        <v>3563090</v>
      </c>
      <c r="B15" t="s">
        <v>92</v>
      </c>
      <c r="C15" t="s">
        <v>48</v>
      </c>
      <c r="D15">
        <v>1987</v>
      </c>
      <c r="F15" t="str">
        <f t="shared" si="0"/>
        <v>INSERT INTO Wagon (numberWagon, weight, yearOfEntry, wagonModelId) VALUES (3563090, 21.2,1987,1104);</v>
      </c>
    </row>
    <row r="16" spans="1:6" x14ac:dyDescent="0.4">
      <c r="A16" s="6">
        <v>3563091</v>
      </c>
      <c r="B16" t="s">
        <v>92</v>
      </c>
      <c r="C16" t="s">
        <v>48</v>
      </c>
      <c r="D16">
        <v>1987</v>
      </c>
      <c r="F16" t="str">
        <f t="shared" si="0"/>
        <v>INSERT INTO Wagon (numberWagon, weight, yearOfEntry, wagonModelId) VALUES (3563091, 21.2,1987,1104);</v>
      </c>
    </row>
    <row r="17" spans="1:6" x14ac:dyDescent="0.4">
      <c r="A17" s="6">
        <v>3563092</v>
      </c>
      <c r="B17" t="s">
        <v>92</v>
      </c>
      <c r="C17" t="s">
        <v>48</v>
      </c>
      <c r="D17">
        <v>1987</v>
      </c>
      <c r="F17" t="str">
        <f t="shared" si="0"/>
        <v>INSERT INTO Wagon (numberWagon, weight, yearOfEntry, wagonModelId) VALUES (3563092, 21.2,1987,1104);</v>
      </c>
    </row>
    <row r="18" spans="1:6" x14ac:dyDescent="0.4">
      <c r="A18" s="6">
        <v>823045</v>
      </c>
      <c r="B18" t="s">
        <v>83</v>
      </c>
      <c r="C18" t="s">
        <v>48</v>
      </c>
      <c r="D18">
        <v>1990</v>
      </c>
      <c r="F18" t="str">
        <f>"INSERT INTO Wagon (numberWagon, weight, yearOfEntry, wagonModelId) VALUES ("&amp;A18&amp;",24 ,"&amp;D18&amp;",1245);"</f>
        <v>INSERT INTO Wagon (numberWagon, weight, yearOfEntry, wagonModelId) VALUES (823045,24 ,1990,1245);</v>
      </c>
    </row>
    <row r="19" spans="1:6" x14ac:dyDescent="0.4">
      <c r="A19" s="6">
        <v>823046</v>
      </c>
      <c r="B19" t="s">
        <v>83</v>
      </c>
      <c r="C19" t="s">
        <v>48</v>
      </c>
      <c r="D19">
        <v>1990</v>
      </c>
      <c r="F19" t="str">
        <f t="shared" ref="F19:F21" si="1">"INSERT INTO Wagon (numberWagon, weight, yearOfEntry, wagonModelId) VALUES ("&amp;A19&amp;",24 ,"&amp;D19&amp;",1245);"</f>
        <v>INSERT INTO Wagon (numberWagon, weight, yearOfEntry, wagonModelId) VALUES (823046,24 ,1990,1245);</v>
      </c>
    </row>
    <row r="20" spans="1:6" x14ac:dyDescent="0.4">
      <c r="A20" s="6">
        <v>823047</v>
      </c>
      <c r="B20" t="s">
        <v>83</v>
      </c>
      <c r="C20" t="s">
        <v>48</v>
      </c>
      <c r="D20">
        <v>1990</v>
      </c>
      <c r="F20" t="str">
        <f t="shared" si="1"/>
        <v>INSERT INTO Wagon (numberWagon, weight, yearOfEntry, wagonModelId) VALUES (823047,24 ,1990,1245);</v>
      </c>
    </row>
    <row r="21" spans="1:6" x14ac:dyDescent="0.4">
      <c r="A21">
        <v>823048</v>
      </c>
      <c r="B21" t="s">
        <v>83</v>
      </c>
      <c r="C21" t="s">
        <v>48</v>
      </c>
      <c r="D21">
        <v>1990</v>
      </c>
      <c r="F21" t="str">
        <f t="shared" si="1"/>
        <v>INSERT INTO Wagon (numberWagon, weight, yearOfEntry, wagonModelId) VALUES (823048,24 ,1990,1245);</v>
      </c>
    </row>
    <row r="22" spans="1:6" x14ac:dyDescent="0.4">
      <c r="A22">
        <v>741001</v>
      </c>
      <c r="B22" t="s">
        <v>88</v>
      </c>
      <c r="C22" t="s">
        <v>48</v>
      </c>
      <c r="D22">
        <v>1977</v>
      </c>
      <c r="F22" t="str">
        <f>"INSERT INTO Wagon (numberWagon, weight, yearOfEntry, wagonModelId) VALUES ("&amp;A22&amp;",24 ,"&amp;D22&amp;",1278);"</f>
        <v>INSERT INTO Wagon (numberWagon, weight, yearOfEntry, wagonModelId) VALUES (741001,24 ,1977,1278);</v>
      </c>
    </row>
    <row r="23" spans="1:6" x14ac:dyDescent="0.4">
      <c r="A23">
        <v>741002</v>
      </c>
      <c r="B23" t="s">
        <v>88</v>
      </c>
      <c r="C23" t="s">
        <v>48</v>
      </c>
      <c r="D23">
        <v>1977</v>
      </c>
      <c r="F23" t="str">
        <f t="shared" ref="F23:F27" si="2">"INSERT INTO Wagon (numberWagon, weight, yearOfEntry, wagonModelId) VALUES ("&amp;A23&amp;",24 ,"&amp;D23&amp;",1278);"</f>
        <v>INSERT INTO Wagon (numberWagon, weight, yearOfEntry, wagonModelId) VALUES (741002,24 ,1977,1278);</v>
      </c>
    </row>
    <row r="24" spans="1:6" x14ac:dyDescent="0.4">
      <c r="A24">
        <v>741003</v>
      </c>
      <c r="B24" t="s">
        <v>88</v>
      </c>
      <c r="C24" t="s">
        <v>48</v>
      </c>
      <c r="D24">
        <v>1977</v>
      </c>
      <c r="F24" t="str">
        <f t="shared" si="2"/>
        <v>INSERT INTO Wagon (numberWagon, weight, yearOfEntry, wagonModelId) VALUES (741003,24 ,1977,1278);</v>
      </c>
    </row>
    <row r="25" spans="1:6" x14ac:dyDescent="0.4">
      <c r="A25">
        <v>741004</v>
      </c>
      <c r="B25" t="s">
        <v>88</v>
      </c>
      <c r="C25" t="s">
        <v>48</v>
      </c>
      <c r="D25">
        <v>1977</v>
      </c>
      <c r="F25" t="str">
        <f t="shared" si="2"/>
        <v>INSERT INTO Wagon (numberWagon, weight, yearOfEntry, wagonModelId) VALUES (741004,24 ,1977,1278);</v>
      </c>
    </row>
    <row r="26" spans="1:6" x14ac:dyDescent="0.4">
      <c r="A26">
        <v>741005</v>
      </c>
      <c r="B26" t="s">
        <v>88</v>
      </c>
      <c r="C26" t="s">
        <v>48</v>
      </c>
      <c r="D26">
        <v>1977</v>
      </c>
      <c r="F26" t="str">
        <f t="shared" si="2"/>
        <v>INSERT INTO Wagon (numberWagon, weight, yearOfEntry, wagonModelId) VALUES (741005,24 ,1977,1278);</v>
      </c>
    </row>
    <row r="27" spans="1:6" x14ac:dyDescent="0.4">
      <c r="A27" s="6">
        <v>741006</v>
      </c>
      <c r="B27" t="s">
        <v>88</v>
      </c>
      <c r="C27" t="s">
        <v>48</v>
      </c>
      <c r="D27">
        <v>1977</v>
      </c>
      <c r="F27" t="str">
        <f t="shared" si="2"/>
        <v>INSERT INTO Wagon (numberWagon, weight, yearOfEntry, wagonModelId) VALUES (741006,24 ,1977,1278);</v>
      </c>
    </row>
    <row r="28" spans="1:6" x14ac:dyDescent="0.4">
      <c r="A28">
        <v>1811010</v>
      </c>
      <c r="B28" t="s">
        <v>89</v>
      </c>
      <c r="C28" t="s">
        <v>48</v>
      </c>
      <c r="D28">
        <v>1977</v>
      </c>
      <c r="F28" t="str">
        <f>"INSERT INTO Wagon (numberWagon, weight, yearOfEntry, wagonModelId) VALUES ("&amp;A28&amp;",24 ,"&amp;D28&amp;",1325);"</f>
        <v>INSERT INTO Wagon (numberWagon, weight, yearOfEntry, wagonModelId) VALUES (1811010,24 ,1977,1325);</v>
      </c>
    </row>
    <row r="29" spans="1:6" x14ac:dyDescent="0.4">
      <c r="A29" s="6">
        <v>1811011</v>
      </c>
      <c r="B29" t="s">
        <v>89</v>
      </c>
      <c r="C29" t="s">
        <v>48</v>
      </c>
      <c r="D29">
        <v>1977</v>
      </c>
      <c r="F29" t="str">
        <f t="shared" ref="F29:F32" si="3">"INSERT INTO Wagon (numberWagon, weight, yearOfEntry, wagonModelId) VALUES ("&amp;A29&amp;",24 ,"&amp;D29&amp;",1325);"</f>
        <v>INSERT INTO Wagon (numberWagon, weight, yearOfEntry, wagonModelId) VALUES (1811011,24 ,1977,1325);</v>
      </c>
    </row>
    <row r="30" spans="1:6" x14ac:dyDescent="0.4">
      <c r="A30" s="6">
        <v>1811012</v>
      </c>
      <c r="B30" t="s">
        <v>89</v>
      </c>
      <c r="C30" t="s">
        <v>48</v>
      </c>
      <c r="D30">
        <v>1977</v>
      </c>
      <c r="F30" t="str">
        <f t="shared" si="3"/>
        <v>INSERT INTO Wagon (numberWagon, weight, yearOfEntry, wagonModelId) VALUES (1811012,24 ,1977,1325);</v>
      </c>
    </row>
    <row r="31" spans="1:6" x14ac:dyDescent="0.4">
      <c r="A31" s="6">
        <v>1811013</v>
      </c>
      <c r="B31" t="s">
        <v>89</v>
      </c>
      <c r="C31" t="s">
        <v>48</v>
      </c>
      <c r="D31">
        <v>1977</v>
      </c>
      <c r="F31" t="str">
        <f t="shared" si="3"/>
        <v>INSERT INTO Wagon (numberWagon, weight, yearOfEntry, wagonModelId) VALUES (1811013,24 ,1977,1325);</v>
      </c>
    </row>
    <row r="32" spans="1:6" x14ac:dyDescent="0.4">
      <c r="A32" s="6">
        <v>1811014</v>
      </c>
      <c r="B32" t="s">
        <v>89</v>
      </c>
      <c r="C32" t="s">
        <v>48</v>
      </c>
      <c r="D32">
        <v>1977</v>
      </c>
      <c r="F32" t="str">
        <f t="shared" si="3"/>
        <v>INSERT INTO Wagon (numberWagon, weight, yearOfEntry, wagonModelId) VALUES (1811014,24 ,1977,1325);</v>
      </c>
    </row>
    <row r="33" spans="1:6" x14ac:dyDescent="0.4">
      <c r="A33" s="6">
        <v>3330001</v>
      </c>
      <c r="B33" t="s">
        <v>101</v>
      </c>
      <c r="C33" t="s">
        <v>48</v>
      </c>
      <c r="D33">
        <v>2005</v>
      </c>
      <c r="F33" t="str">
        <f>"INSERT INTO Wagon (numberWagon, weight, yearOfEntry, wagonModelId) VALUES ("&amp;A33&amp;",24 ,"&amp;D33&amp;",1212);"</f>
        <v>INSERT INTO Wagon (numberWagon, weight, yearOfEntry, wagonModelId) VALUES (3330001,24 ,2005,1212);</v>
      </c>
    </row>
    <row r="34" spans="1:6" x14ac:dyDescent="0.4">
      <c r="A34" s="6">
        <v>3330002</v>
      </c>
      <c r="B34" t="s">
        <v>101</v>
      </c>
      <c r="C34" t="s">
        <v>48</v>
      </c>
      <c r="D34">
        <v>2005</v>
      </c>
      <c r="F34" t="str">
        <f t="shared" ref="F34:F42" si="4">"INSERT INTO Wagon (numberWagon, weight, yearOfEntry, wagonModelId) VALUES ("&amp;A34&amp;",24 ,"&amp;D34&amp;",1212);"</f>
        <v>INSERT INTO Wagon (numberWagon, weight, yearOfEntry, wagonModelId) VALUES (3330002,24 ,2005,1212);</v>
      </c>
    </row>
    <row r="35" spans="1:6" x14ac:dyDescent="0.4">
      <c r="A35" s="6">
        <v>3330003</v>
      </c>
      <c r="B35" t="s">
        <v>101</v>
      </c>
      <c r="C35" t="s">
        <v>48</v>
      </c>
      <c r="D35">
        <v>2005</v>
      </c>
      <c r="F35" t="str">
        <f t="shared" si="4"/>
        <v>INSERT INTO Wagon (numberWagon, weight, yearOfEntry, wagonModelId) VALUES (3330003,24 ,2005,1212);</v>
      </c>
    </row>
    <row r="36" spans="1:6" x14ac:dyDescent="0.4">
      <c r="A36" s="6">
        <v>3330004</v>
      </c>
      <c r="B36" t="s">
        <v>101</v>
      </c>
      <c r="C36" t="s">
        <v>48</v>
      </c>
      <c r="D36">
        <v>2005</v>
      </c>
      <c r="F36" t="str">
        <f t="shared" si="4"/>
        <v>INSERT INTO Wagon (numberWagon, weight, yearOfEntry, wagonModelId) VALUES (3330004,24 ,2005,1212);</v>
      </c>
    </row>
    <row r="37" spans="1:6" x14ac:dyDescent="0.4">
      <c r="A37" s="6">
        <v>3330005</v>
      </c>
      <c r="B37" t="s">
        <v>101</v>
      </c>
      <c r="C37" t="s">
        <v>48</v>
      </c>
      <c r="D37">
        <v>2005</v>
      </c>
      <c r="F37" t="str">
        <f t="shared" si="4"/>
        <v>INSERT INTO Wagon (numberWagon, weight, yearOfEntry, wagonModelId) VALUES (3330005,24 ,2005,1212);</v>
      </c>
    </row>
    <row r="38" spans="1:6" x14ac:dyDescent="0.4">
      <c r="A38" s="6">
        <v>3330006</v>
      </c>
      <c r="B38" t="s">
        <v>101</v>
      </c>
      <c r="C38" t="s">
        <v>48</v>
      </c>
      <c r="D38">
        <v>2005</v>
      </c>
      <c r="F38" t="str">
        <f t="shared" si="4"/>
        <v>INSERT INTO Wagon (numberWagon, weight, yearOfEntry, wagonModelId) VALUES (3330006,24 ,2005,1212);</v>
      </c>
    </row>
    <row r="39" spans="1:6" x14ac:dyDescent="0.4">
      <c r="A39" s="6">
        <v>3330007</v>
      </c>
      <c r="B39" t="s">
        <v>101</v>
      </c>
      <c r="C39" t="s">
        <v>48</v>
      </c>
      <c r="D39">
        <v>2005</v>
      </c>
      <c r="F39" t="str">
        <f t="shared" si="4"/>
        <v>INSERT INTO Wagon (numberWagon, weight, yearOfEntry, wagonModelId) VALUES (3330007,24 ,2005,1212);</v>
      </c>
    </row>
    <row r="40" spans="1:6" x14ac:dyDescent="0.4">
      <c r="A40" s="6">
        <v>3330008</v>
      </c>
      <c r="B40" t="s">
        <v>101</v>
      </c>
      <c r="C40" t="s">
        <v>48</v>
      </c>
      <c r="D40">
        <v>2005</v>
      </c>
      <c r="F40" t="str">
        <f t="shared" si="4"/>
        <v>INSERT INTO Wagon (numberWagon, weight, yearOfEntry, wagonModelId) VALUES (3330008,24 ,2005,1212);</v>
      </c>
    </row>
    <row r="41" spans="1:6" x14ac:dyDescent="0.4">
      <c r="A41" s="6">
        <v>3330009</v>
      </c>
      <c r="B41" t="s">
        <v>101</v>
      </c>
      <c r="C41" t="s">
        <v>48</v>
      </c>
      <c r="D41">
        <v>2005</v>
      </c>
      <c r="F41" t="str">
        <f t="shared" si="4"/>
        <v>INSERT INTO Wagon (numberWagon, weight, yearOfEntry, wagonModelId) VALUES (3330009,24 ,2005,1212);</v>
      </c>
    </row>
    <row r="42" spans="1:6" x14ac:dyDescent="0.4">
      <c r="A42" s="6">
        <v>3330010</v>
      </c>
      <c r="B42" t="s">
        <v>101</v>
      </c>
      <c r="C42" t="s">
        <v>48</v>
      </c>
      <c r="D42">
        <v>2005</v>
      </c>
      <c r="F42" t="str">
        <f t="shared" si="4"/>
        <v>INSERT INTO Wagon (numberWagon, weight, yearOfEntry, wagonModelId) VALUES (3330010,24 ,2005,1212);</v>
      </c>
    </row>
    <row r="44" spans="1:6" x14ac:dyDescent="0.4">
      <c r="F44" t="str">
        <f>"INSERT INTO OperatorWagon (operatorVatNumber, wagonNumber) VALUES ('PT509017800',"&amp;A2&amp;");"</f>
        <v>INSERT INTO OperatorWagon (operatorVatNumber, wagonNumber) VALUES ('PT509017800',3563077);</v>
      </c>
    </row>
    <row r="45" spans="1:6" x14ac:dyDescent="0.4">
      <c r="F45" t="str">
        <f t="shared" ref="F45:F84" si="5">"INSERT INTO OperatorWagon (operatorVatNumber, wagonNumber) VALUES ('PT509017800',"&amp;A3&amp;");"</f>
        <v>INSERT INTO OperatorWagon (operatorVatNumber, wagonNumber) VALUES ('PT509017800',3563078);</v>
      </c>
    </row>
    <row r="46" spans="1:6" x14ac:dyDescent="0.4">
      <c r="F46" t="str">
        <f t="shared" si="5"/>
        <v>INSERT INTO OperatorWagon (operatorVatNumber, wagonNumber) VALUES ('PT509017800',3563079);</v>
      </c>
    </row>
    <row r="47" spans="1:6" x14ac:dyDescent="0.4">
      <c r="F47" t="str">
        <f t="shared" si="5"/>
        <v>INSERT INTO OperatorWagon (operatorVatNumber, wagonNumber) VALUES ('PT509017800',3563080);</v>
      </c>
    </row>
    <row r="48" spans="1:6" x14ac:dyDescent="0.4">
      <c r="F48" t="str">
        <f t="shared" si="5"/>
        <v>INSERT INTO OperatorWagon (operatorVatNumber, wagonNumber) VALUES ('PT509017800',3563081);</v>
      </c>
    </row>
    <row r="49" spans="6:6" x14ac:dyDescent="0.4">
      <c r="F49" t="str">
        <f t="shared" si="5"/>
        <v>INSERT INTO OperatorWagon (operatorVatNumber, wagonNumber) VALUES ('PT509017800',3563082);</v>
      </c>
    </row>
    <row r="50" spans="6:6" x14ac:dyDescent="0.4">
      <c r="F50" t="str">
        <f t="shared" si="5"/>
        <v>INSERT INTO OperatorWagon (operatorVatNumber, wagonNumber) VALUES ('PT509017800',3563083);</v>
      </c>
    </row>
    <row r="51" spans="6:6" x14ac:dyDescent="0.4">
      <c r="F51" t="str">
        <f t="shared" si="5"/>
        <v>INSERT INTO OperatorWagon (operatorVatNumber, wagonNumber) VALUES ('PT509017800',3563084);</v>
      </c>
    </row>
    <row r="52" spans="6:6" x14ac:dyDescent="0.4">
      <c r="F52" t="str">
        <f t="shared" si="5"/>
        <v>INSERT INTO OperatorWagon (operatorVatNumber, wagonNumber) VALUES ('PT509017800',3563085);</v>
      </c>
    </row>
    <row r="53" spans="6:6" x14ac:dyDescent="0.4">
      <c r="F53" t="str">
        <f t="shared" si="5"/>
        <v>INSERT INTO OperatorWagon (operatorVatNumber, wagonNumber) VALUES ('PT509017800',3563086);</v>
      </c>
    </row>
    <row r="54" spans="6:6" x14ac:dyDescent="0.4">
      <c r="F54" t="str">
        <f t="shared" si="5"/>
        <v>INSERT INTO OperatorWagon (operatorVatNumber, wagonNumber) VALUES ('PT509017800',3563087);</v>
      </c>
    </row>
    <row r="55" spans="6:6" x14ac:dyDescent="0.4">
      <c r="F55" t="str">
        <f t="shared" si="5"/>
        <v>INSERT INTO OperatorWagon (operatorVatNumber, wagonNumber) VALUES ('PT509017800',3563088);</v>
      </c>
    </row>
    <row r="56" spans="6:6" x14ac:dyDescent="0.4">
      <c r="F56" t="str">
        <f t="shared" si="5"/>
        <v>INSERT INTO OperatorWagon (operatorVatNumber, wagonNumber) VALUES ('PT509017800',3563089);</v>
      </c>
    </row>
    <row r="57" spans="6:6" x14ac:dyDescent="0.4">
      <c r="F57" t="str">
        <f t="shared" si="5"/>
        <v>INSERT INTO OperatorWagon (operatorVatNumber, wagonNumber) VALUES ('PT509017800',3563090);</v>
      </c>
    </row>
    <row r="58" spans="6:6" x14ac:dyDescent="0.4">
      <c r="F58" t="str">
        <f t="shared" si="5"/>
        <v>INSERT INTO OperatorWagon (operatorVatNumber, wagonNumber) VALUES ('PT509017800',3563091);</v>
      </c>
    </row>
    <row r="59" spans="6:6" x14ac:dyDescent="0.4">
      <c r="F59" t="str">
        <f t="shared" si="5"/>
        <v>INSERT INTO OperatorWagon (operatorVatNumber, wagonNumber) VALUES ('PT509017800',3563092);</v>
      </c>
    </row>
    <row r="60" spans="6:6" x14ac:dyDescent="0.4">
      <c r="F60" t="str">
        <f t="shared" si="5"/>
        <v>INSERT INTO OperatorWagon (operatorVatNumber, wagonNumber) VALUES ('PT509017800',823045);</v>
      </c>
    </row>
    <row r="61" spans="6:6" x14ac:dyDescent="0.4">
      <c r="F61" t="str">
        <f t="shared" si="5"/>
        <v>INSERT INTO OperatorWagon (operatorVatNumber, wagonNumber) VALUES ('PT509017800',823046);</v>
      </c>
    </row>
    <row r="62" spans="6:6" x14ac:dyDescent="0.4">
      <c r="F62" t="str">
        <f t="shared" si="5"/>
        <v>INSERT INTO OperatorWagon (operatorVatNumber, wagonNumber) VALUES ('PT509017800',823047);</v>
      </c>
    </row>
    <row r="63" spans="6:6" x14ac:dyDescent="0.4">
      <c r="F63" t="str">
        <f t="shared" si="5"/>
        <v>INSERT INTO OperatorWagon (operatorVatNumber, wagonNumber) VALUES ('PT509017800',823048);</v>
      </c>
    </row>
    <row r="64" spans="6:6" x14ac:dyDescent="0.4">
      <c r="F64" t="str">
        <f t="shared" si="5"/>
        <v>INSERT INTO OperatorWagon (operatorVatNumber, wagonNumber) VALUES ('PT509017800',741001);</v>
      </c>
    </row>
    <row r="65" spans="6:6" x14ac:dyDescent="0.4">
      <c r="F65" t="str">
        <f t="shared" si="5"/>
        <v>INSERT INTO OperatorWagon (operatorVatNumber, wagonNumber) VALUES ('PT509017800',741002);</v>
      </c>
    </row>
    <row r="66" spans="6:6" x14ac:dyDescent="0.4">
      <c r="F66" t="str">
        <f t="shared" si="5"/>
        <v>INSERT INTO OperatorWagon (operatorVatNumber, wagonNumber) VALUES ('PT509017800',741003);</v>
      </c>
    </row>
    <row r="67" spans="6:6" x14ac:dyDescent="0.4">
      <c r="F67" t="str">
        <f t="shared" si="5"/>
        <v>INSERT INTO OperatorWagon (operatorVatNumber, wagonNumber) VALUES ('PT509017800',741004);</v>
      </c>
    </row>
    <row r="68" spans="6:6" x14ac:dyDescent="0.4">
      <c r="F68" t="str">
        <f t="shared" si="5"/>
        <v>INSERT INTO OperatorWagon (operatorVatNumber, wagonNumber) VALUES ('PT509017800',741005);</v>
      </c>
    </row>
    <row r="69" spans="6:6" x14ac:dyDescent="0.4">
      <c r="F69" t="str">
        <f t="shared" si="5"/>
        <v>INSERT INTO OperatorWagon (operatorVatNumber, wagonNumber) VALUES ('PT509017800',741006);</v>
      </c>
    </row>
    <row r="70" spans="6:6" x14ac:dyDescent="0.4">
      <c r="F70" t="str">
        <f t="shared" si="5"/>
        <v>INSERT INTO OperatorWagon (operatorVatNumber, wagonNumber) VALUES ('PT509017800',1811010);</v>
      </c>
    </row>
    <row r="71" spans="6:6" x14ac:dyDescent="0.4">
      <c r="F71" t="str">
        <f t="shared" si="5"/>
        <v>INSERT INTO OperatorWagon (operatorVatNumber, wagonNumber) VALUES ('PT509017800',1811011);</v>
      </c>
    </row>
    <row r="72" spans="6:6" x14ac:dyDescent="0.4">
      <c r="F72" t="str">
        <f t="shared" si="5"/>
        <v>INSERT INTO OperatorWagon (operatorVatNumber, wagonNumber) VALUES ('PT509017800',1811012);</v>
      </c>
    </row>
    <row r="73" spans="6:6" x14ac:dyDescent="0.4">
      <c r="F73" t="str">
        <f t="shared" si="5"/>
        <v>INSERT INTO OperatorWagon (operatorVatNumber, wagonNumber) VALUES ('PT509017800',1811013);</v>
      </c>
    </row>
    <row r="74" spans="6:6" x14ac:dyDescent="0.4">
      <c r="F74" t="str">
        <f t="shared" si="5"/>
        <v>INSERT INTO OperatorWagon (operatorVatNumber, wagonNumber) VALUES ('PT509017800',1811014);</v>
      </c>
    </row>
    <row r="75" spans="6:6" x14ac:dyDescent="0.4">
      <c r="F75" t="str">
        <f t="shared" si="5"/>
        <v>INSERT INTO OperatorWagon (operatorVatNumber, wagonNumber) VALUES ('PT509017800',3330001);</v>
      </c>
    </row>
    <row r="76" spans="6:6" x14ac:dyDescent="0.4">
      <c r="F76" t="str">
        <f t="shared" si="5"/>
        <v>INSERT INTO OperatorWagon (operatorVatNumber, wagonNumber) VALUES ('PT509017800',3330002);</v>
      </c>
    </row>
    <row r="77" spans="6:6" x14ac:dyDescent="0.4">
      <c r="F77" t="str">
        <f t="shared" si="5"/>
        <v>INSERT INTO OperatorWagon (operatorVatNumber, wagonNumber) VALUES ('PT509017800',3330003);</v>
      </c>
    </row>
    <row r="78" spans="6:6" x14ac:dyDescent="0.4">
      <c r="F78" t="str">
        <f t="shared" si="5"/>
        <v>INSERT INTO OperatorWagon (operatorVatNumber, wagonNumber) VALUES ('PT509017800',3330004);</v>
      </c>
    </row>
    <row r="79" spans="6:6" x14ac:dyDescent="0.4">
      <c r="F79" t="str">
        <f t="shared" si="5"/>
        <v>INSERT INTO OperatorWagon (operatorVatNumber, wagonNumber) VALUES ('PT509017800',3330005);</v>
      </c>
    </row>
    <row r="80" spans="6:6" x14ac:dyDescent="0.4">
      <c r="F80" t="str">
        <f t="shared" si="5"/>
        <v>INSERT INTO OperatorWagon (operatorVatNumber, wagonNumber) VALUES ('PT509017800',3330006);</v>
      </c>
    </row>
    <row r="81" spans="6:6" x14ac:dyDescent="0.4">
      <c r="F81" t="str">
        <f t="shared" si="5"/>
        <v>INSERT INTO OperatorWagon (operatorVatNumber, wagonNumber) VALUES ('PT509017800',3330007);</v>
      </c>
    </row>
    <row r="82" spans="6:6" x14ac:dyDescent="0.4">
      <c r="F82" t="str">
        <f t="shared" si="5"/>
        <v>INSERT INTO OperatorWagon (operatorVatNumber, wagonNumber) VALUES ('PT509017800',3330008);</v>
      </c>
    </row>
    <row r="83" spans="6:6" x14ac:dyDescent="0.4">
      <c r="F83" t="str">
        <f t="shared" si="5"/>
        <v>INSERT INTO OperatorWagon (operatorVatNumber, wagonNumber) VALUES ('PT509017800',3330009);</v>
      </c>
    </row>
    <row r="84" spans="6:6" x14ac:dyDescent="0.4">
      <c r="F84" t="str">
        <f t="shared" si="5"/>
        <v>INSERT INTO OperatorWagon (operatorVatNumber, wagonNumber) VALUES ('PT509017800',3330010);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BF51-1CF6-EE49-8281-CE38E390C5A0}">
  <dimension ref="A1:AG45"/>
  <sheetViews>
    <sheetView tabSelected="1" topLeftCell="P1" zoomScale="69" zoomScaleNormal="130" workbookViewId="0">
      <selection activeCell="AG2" sqref="AG2:AG22"/>
    </sheetView>
  </sheetViews>
  <sheetFormatPr defaultColWidth="10.6640625" defaultRowHeight="16" x14ac:dyDescent="0.4"/>
  <cols>
    <col min="6" max="6" width="14.6640625" bestFit="1" customWidth="1"/>
    <col min="7" max="7" width="54.1640625" bestFit="1" customWidth="1"/>
  </cols>
  <sheetData>
    <row r="1" spans="1:33" x14ac:dyDescent="0.4">
      <c r="A1" t="s">
        <v>0</v>
      </c>
      <c r="B1" t="s">
        <v>126</v>
      </c>
      <c r="C1" t="s">
        <v>127</v>
      </c>
      <c r="D1" t="s">
        <v>129</v>
      </c>
      <c r="E1" t="s">
        <v>128</v>
      </c>
      <c r="F1" t="s">
        <v>129</v>
      </c>
      <c r="G1" t="s">
        <v>130</v>
      </c>
    </row>
    <row r="2" spans="1:33" x14ac:dyDescent="0.4">
      <c r="A2">
        <v>2001</v>
      </c>
      <c r="B2" s="1">
        <v>45933</v>
      </c>
      <c r="C2">
        <v>50</v>
      </c>
      <c r="D2" t="s">
        <v>117</v>
      </c>
      <c r="E2">
        <v>12</v>
      </c>
      <c r="F2" t="s">
        <v>13</v>
      </c>
      <c r="G2" t="s">
        <v>169</v>
      </c>
      <c r="I2" t="str">
        <f>"INSERT INTO Path (freightsId, stationId, inicialStation, finalStation) VALUES (2001,50,50,12);"</f>
        <v>INSERT INTO Path (freightsId, stationId, inicialStation, finalStation) VALUES (2001,50,50,12);</v>
      </c>
      <c r="Q2" t="str">
        <f>"INSERT INTO Path (freightsId, stationId, inicialStation, finalStation) VALUES (2003,50,50,11);"</f>
        <v>INSERT INTO Path (freightsId, stationId, inicialStation, finalStation) VALUES (2003,50,50,11);</v>
      </c>
      <c r="Y2" t="str">
        <f>"INSERT INTO Path (freightsId, stationId, inicialStation, finalStation) VALUES (2005,20,20,11);"</f>
        <v>INSERT INTO Path (freightsId, stationId, inicialStation, finalStation) VALUES (2005,20,20,11);</v>
      </c>
      <c r="AG2" t="str">
        <f>"INSERT INTO Path (freightsId, stationId, inicialStation, finalStation) VALUES (2050,12,12,50);"</f>
        <v>INSERT INTO Path (freightsId, stationId, inicialStation, finalStation) VALUES (2050,12,12,50);</v>
      </c>
    </row>
    <row r="3" spans="1:33" x14ac:dyDescent="0.4">
      <c r="A3">
        <v>2002</v>
      </c>
      <c r="B3" s="1">
        <v>45933</v>
      </c>
      <c r="C3">
        <v>13</v>
      </c>
      <c r="D3" s="2" t="s">
        <v>14</v>
      </c>
      <c r="E3">
        <v>11</v>
      </c>
      <c r="F3" t="s">
        <v>12</v>
      </c>
      <c r="G3">
        <v>3563089</v>
      </c>
      <c r="I3" t="str">
        <f>"INSERT INTO Path (freightsId, stationId, inicialStation, finalStation) VALUES (2001,48,50,12);"</f>
        <v>INSERT INTO Path (freightsId, stationId, inicialStation, finalStation) VALUES (2001,48,50,12);</v>
      </c>
      <c r="Q3" t="str">
        <f>"INSERT INTO Path (freightsId, stationId, inicialStation, finalStation) VALUES (2003,48,50,11);"</f>
        <v>INSERT INTO Path (freightsId, stationId, inicialStation, finalStation) VALUES (2003,48,50,11);</v>
      </c>
      <c r="Y3" t="str">
        <f>"INSERT INTO Path (freightsId, stationId, inicialStation, finalStation) VALUES (2005,8,20,11);"</f>
        <v>INSERT INTO Path (freightsId, stationId, inicialStation, finalStation) VALUES (2005,8,20,11);</v>
      </c>
      <c r="AG3" t="str">
        <f>"INSERT INTO Path (freightsId, stationId, inicialStation, finalStation) VALUES (2050,8,12,50);"</f>
        <v>INSERT INTO Path (freightsId, stationId, inicialStation, finalStation) VALUES (2050,8,12,50);</v>
      </c>
    </row>
    <row r="4" spans="1:33" x14ac:dyDescent="0.4">
      <c r="A4">
        <v>2003</v>
      </c>
      <c r="B4" s="1">
        <v>45933</v>
      </c>
      <c r="C4">
        <v>50</v>
      </c>
      <c r="D4" t="s">
        <v>117</v>
      </c>
      <c r="E4">
        <v>11</v>
      </c>
      <c r="F4" t="s">
        <v>12</v>
      </c>
      <c r="G4" t="s">
        <v>170</v>
      </c>
      <c r="I4" t="str">
        <f>"INSERT INTO Path (freightsId, stationId, inicialStation, finalStation) VALUES (2001,45,50,12);"</f>
        <v>INSERT INTO Path (freightsId, stationId, inicialStation, finalStation) VALUES (2001,45,50,12);</v>
      </c>
      <c r="Q4" t="str">
        <f>"INSERT INTO Path (freightsId, stationId, inicialStation, finalStation) VALUES (2003,45,50,11);"</f>
        <v>INSERT INTO Path (freightsId, stationId, inicialStation, finalStation) VALUES (2003,45,50,11);</v>
      </c>
      <c r="Y4" t="str">
        <f>"INSERT INTO Path (freightsId, stationId, inicialStation, finalStation) VALUES (2005,12,20,11);"</f>
        <v>INSERT INTO Path (freightsId, stationId, inicialStation, finalStation) VALUES (2005,12,20,11);</v>
      </c>
      <c r="AG4" t="str">
        <f>"INSERT INTO Path (freightsId, stationId, inicialStation, finalStation) VALUES (2050,20,12,50);"</f>
        <v>INSERT INTO Path (freightsId, stationId, inicialStation, finalStation) VALUES (2050,20,12,50);</v>
      </c>
    </row>
    <row r="5" spans="1:33" x14ac:dyDescent="0.4">
      <c r="A5">
        <v>2004</v>
      </c>
      <c r="B5" s="1">
        <v>45933</v>
      </c>
      <c r="C5">
        <v>50</v>
      </c>
      <c r="D5" t="s">
        <v>117</v>
      </c>
      <c r="E5">
        <v>21</v>
      </c>
      <c r="F5" t="s">
        <v>22</v>
      </c>
      <c r="G5">
        <v>1811013</v>
      </c>
      <c r="I5" t="str">
        <f>"INSERT INTO Path (freightsId, stationId, inicialStation, finalStation) VALUES (2001,43,50,12);"</f>
        <v>INSERT INTO Path (freightsId, stationId, inicialStation, finalStation) VALUES (2001,43,50,12);</v>
      </c>
      <c r="Q5" t="str">
        <f>"INSERT INTO Path (freightsId, stationId, inicialStation, finalStation) VALUES (2003,43,50,11);"</f>
        <v>INSERT INTO Path (freightsId, stationId, inicialStation, finalStation) VALUES (2003,43,50,11);</v>
      </c>
      <c r="Y5" t="str">
        <f>"INSERT INTO Path (freightsId, stationId, inicialStation, finalStation) VALUES (2005,17,20,11);"</f>
        <v>INSERT INTO Path (freightsId, stationId, inicialStation, finalStation) VALUES (2005,17,20,11);</v>
      </c>
      <c r="AG5" t="str">
        <f>"INSERT INTO Path (freightsId, stationId, inicialStation, finalStation) VALUES (2050,13,12,50);"</f>
        <v>INSERT INTO Path (freightsId, stationId, inicialStation, finalStation) VALUES (2050,13,12,50);</v>
      </c>
    </row>
    <row r="6" spans="1:33" x14ac:dyDescent="0.4">
      <c r="A6">
        <v>2005</v>
      </c>
      <c r="B6" s="1">
        <v>45933</v>
      </c>
      <c r="C6">
        <v>20</v>
      </c>
      <c r="D6" t="s">
        <v>21</v>
      </c>
      <c r="E6">
        <v>11</v>
      </c>
      <c r="F6" t="s">
        <v>12</v>
      </c>
      <c r="G6" t="s">
        <v>171</v>
      </c>
      <c r="I6" t="str">
        <f>"INSERT INTO Path (freightsId, stationId, inicialStation, finalStation) VALUES (2001,13,50,12);"</f>
        <v>INSERT INTO Path (freightsId, stationId, inicialStation, finalStation) VALUES (2001,13,50,12);</v>
      </c>
      <c r="Q6" t="str">
        <f>"INSERT INTO Path (freightsId, stationId, inicialStation, finalStation) VALUES (2003,13,50,11);"</f>
        <v>INSERT INTO Path (freightsId, stationId, inicialStation, finalStation) VALUES (2003,13,50,11);</v>
      </c>
      <c r="Y6" t="str">
        <f>"INSERT INTO Path (freightsId, stationId, inicialStation, finalStation) VALUES (2005,21,20,11);"</f>
        <v>INSERT INTO Path (freightsId, stationId, inicialStation, finalStation) VALUES (2005,21,20,11);</v>
      </c>
      <c r="AG6" t="str">
        <f>"INSERT INTO Path (freightsId, stationId, inicialStation, finalStation) VALUES (2050,43,12,50);"</f>
        <v>INSERT INTO Path (freightsId, stationId, inicialStation, finalStation) VALUES (2050,43,12,50);</v>
      </c>
    </row>
    <row r="7" spans="1:33" x14ac:dyDescent="0.4">
      <c r="A7">
        <v>2006</v>
      </c>
      <c r="B7" s="1">
        <v>45933</v>
      </c>
      <c r="C7">
        <v>12</v>
      </c>
      <c r="D7" t="s">
        <v>13</v>
      </c>
      <c r="E7">
        <v>50</v>
      </c>
      <c r="F7" t="s">
        <v>117</v>
      </c>
      <c r="G7" t="s">
        <v>172</v>
      </c>
      <c r="I7" t="str">
        <f>"INSERT INTO Path (freightsId, stationId, inicialStation, finalStation) VALUES (2001,20,50,12);"</f>
        <v>INSERT INTO Path (freightsId, stationId, inicialStation, finalStation) VALUES (2001,20,50,12);</v>
      </c>
      <c r="Q7" t="str">
        <f>"INSERT INTO Path (freightsId, stationId, inicialStation, finalStation) VALUES (2003,20,50,11);"</f>
        <v>INSERT INTO Path (freightsId, stationId, inicialStation, finalStation) VALUES (2003,20,50,11);</v>
      </c>
      <c r="Y7" t="str">
        <f>"INSERT INTO Path (freightsId, stationId, inicialStation, finalStation) VALUES (2005,16,20,11);"</f>
        <v>INSERT INTO Path (freightsId, stationId, inicialStation, finalStation) VALUES (2005,16,20,11);</v>
      </c>
      <c r="AG7" t="str">
        <f>"INSERT INTO Path (freightsId, stationId, inicialStation, finalStation) VALUES (2050,45,12,50);"</f>
        <v>INSERT INTO Path (freightsId, stationId, inicialStation, finalStation) VALUES (2050,45,12,50);</v>
      </c>
    </row>
    <row r="8" spans="1:33" x14ac:dyDescent="0.4">
      <c r="A8">
        <v>2007</v>
      </c>
      <c r="B8" s="1">
        <v>45933</v>
      </c>
      <c r="C8">
        <v>50</v>
      </c>
      <c r="D8" t="s">
        <v>117</v>
      </c>
      <c r="E8">
        <v>5</v>
      </c>
      <c r="F8" t="s">
        <v>6</v>
      </c>
      <c r="G8" t="s">
        <v>173</v>
      </c>
      <c r="I8" t="str">
        <f>"INSERT INTO Path (freightsId, stationId, inicialStation, finalStation) VALUES (2001,8,50,12);"</f>
        <v>INSERT INTO Path (freightsId, stationId, inicialStation, finalStation) VALUES (2001,8,50,12);</v>
      </c>
      <c r="Q8" t="str">
        <f>"INSERT INTO Path (freightsId, stationId, inicialStation, finalStation) VALUES (2003,8,50,11);"</f>
        <v>INSERT INTO Path (freightsId, stationId, inicialStation, finalStation) VALUES (2003,8,50,11);</v>
      </c>
      <c r="Y8" t="str">
        <f>"INSERT INTO Path (freightsId, stationId, inicialStation, finalStation) VALUES (2005,11,20,11);"</f>
        <v>INSERT INTO Path (freightsId, stationId, inicialStation, finalStation) VALUES (2005,11,20,11);</v>
      </c>
      <c r="AG8" t="str">
        <f>"INSERT INTO Path (freightsId, stationId, inicialStation, finalStation) VALUES (2050,48,12,50);"</f>
        <v>INSERT INTO Path (freightsId, stationId, inicialStation, finalStation) VALUES (2050,48,12,50);</v>
      </c>
    </row>
    <row r="9" spans="1:33" x14ac:dyDescent="0.4">
      <c r="A9">
        <v>2050</v>
      </c>
      <c r="B9" s="1">
        <v>45936</v>
      </c>
      <c r="C9">
        <v>12</v>
      </c>
      <c r="D9" t="s">
        <v>13</v>
      </c>
      <c r="E9">
        <v>50</v>
      </c>
      <c r="F9" t="s">
        <v>117</v>
      </c>
      <c r="G9" t="s">
        <v>169</v>
      </c>
      <c r="I9" t="str">
        <f>"INSERT INTO Path (freightsId, stationId, inicialStation, finalStation) VALUES (2001,12,50,12);"</f>
        <v>INSERT INTO Path (freightsId, stationId, inicialStation, finalStation) VALUES (2001,12,50,12);</v>
      </c>
      <c r="Q9" t="str">
        <f>"INSERT INTO Path (freightsId, stationId, inicialStation, finalStation) VALUES (2003,12,50,11);"</f>
        <v>INSERT INTO Path (freightsId, stationId, inicialStation, finalStation) VALUES (2003,12,50,11);</v>
      </c>
      <c r="AG9" t="str">
        <f>"INSERT INTO Path (freightsId, stationId, inicialStation, finalStation) VALUES (2050,50,12,50);"</f>
        <v>INSERT INTO Path (freightsId, stationId, inicialStation, finalStation) VALUES (2050,50,12,50);</v>
      </c>
    </row>
    <row r="10" spans="1:33" x14ac:dyDescent="0.4">
      <c r="A10">
        <v>2051</v>
      </c>
      <c r="B10" s="1">
        <v>45936</v>
      </c>
      <c r="C10">
        <v>11</v>
      </c>
      <c r="D10" t="s">
        <v>12</v>
      </c>
      <c r="E10">
        <v>50</v>
      </c>
      <c r="F10" t="s">
        <v>117</v>
      </c>
      <c r="G10" t="s">
        <v>174</v>
      </c>
      <c r="Q10" t="str">
        <f>"INSERT INTO Path (freightsId, stationId, inicialStation, finalStation) VALUES (2003,17,50,11);"</f>
        <v>INSERT INTO Path (freightsId, stationId, inicialStation, finalStation) VALUES (2003,17,50,11);</v>
      </c>
      <c r="Y10" t="str">
        <f>"INSERT INTO Path (freightsId, stationId, inicialStation, finalStation) VALUES (2006,12,12,50);"</f>
        <v>INSERT INTO Path (freightsId, stationId, inicialStation, finalStation) VALUES (2006,12,12,50);</v>
      </c>
    </row>
    <row r="11" spans="1:33" x14ac:dyDescent="0.4">
      <c r="I11" t="str">
        <f>"INSERT INTO Path (freightsId, stationId, inicialStation, finalStation) VALUES (2002,13,13,11);"</f>
        <v>INSERT INTO Path (freightsId, stationId, inicialStation, finalStation) VALUES (2002,13,13,11);</v>
      </c>
      <c r="Q11" t="str">
        <f>"INSERT INTO Path (freightsId, stationId, inicialStation, finalStation) VALUES (2003,21,50,11);"</f>
        <v>INSERT INTO Path (freightsId, stationId, inicialStation, finalStation) VALUES (2003,21,50,11);</v>
      </c>
      <c r="Y11" t="str">
        <f>"INSERT INTO Path (freightsId, stationId, inicialStation, finalStation) VALUES (2006,8,12,50);"</f>
        <v>INSERT INTO Path (freightsId, stationId, inicialStation, finalStation) VALUES (2006,8,12,50);</v>
      </c>
      <c r="AG11" t="str">
        <f>"INSERT INTO Path (freightsId, stationId, inicialStation, finalStation) VALUES (2051,11,11,50);"</f>
        <v>INSERT INTO Path (freightsId, stationId, inicialStation, finalStation) VALUES (2051,11,11,50);</v>
      </c>
    </row>
    <row r="12" spans="1:33" x14ac:dyDescent="0.4">
      <c r="B12" t="str">
        <f>"INSERT INTO Freights (id, dateFreights, trainId) VALUES ("&amp;A2&amp;",TO_DATE('2025-10-03', 'YYYY-MM-DD'),5421);"</f>
        <v>INSERT INTO Freights (id, dateFreights, trainId) VALUES (2001,TO_DATE('2025-10-03', 'YYYY-MM-DD'),5421);</v>
      </c>
      <c r="I12" t="str">
        <f>"INSERT INTO Path (freightsId, stationId, inicialStation, finalStation) VALUES (2002,20,13,11);"</f>
        <v>INSERT INTO Path (freightsId, stationId, inicialStation, finalStation) VALUES (2002,20,13,11);</v>
      </c>
      <c r="Q12" t="str">
        <f>"INSERT INTO Path (freightsId, stationId, inicialStation, finalStation) VALUES (2003,16,50,11);"</f>
        <v>INSERT INTO Path (freightsId, stationId, inicialStation, finalStation) VALUES (2003,16,50,11);</v>
      </c>
      <c r="Y12" t="str">
        <f>"INSERT INTO Path (freightsId, stationId, inicialStation, finalStation) VALUES (2006,20,12,50);"</f>
        <v>INSERT INTO Path (freightsId, stationId, inicialStation, finalStation) VALUES (2006,20,12,50);</v>
      </c>
      <c r="AG12" t="str">
        <f>"INSERT INTO Path (freightsId, stationId, inicialStation, finalStation) VALUES (2051,16,11,50);"</f>
        <v>INSERT INTO Path (freightsId, stationId, inicialStation, finalStation) VALUES (2051,16,11,50);</v>
      </c>
    </row>
    <row r="13" spans="1:33" x14ac:dyDescent="0.4">
      <c r="B13" t="str">
        <f>"INSERT INTO Freights (id, dateFreights, trainId) VALUES ("&amp;A3&amp;",TO_DATE('2025-10-03', 'YYYY-MM-DD'),5421);"</f>
        <v>INSERT INTO Freights (id, dateFreights, trainId) VALUES (2002,TO_DATE('2025-10-03', 'YYYY-MM-DD'),5421);</v>
      </c>
      <c r="I13" t="str">
        <f>"INSERT INTO Path (freightsId, stationId, inicialStation, finalStation) VALUES (2002,8,13,11);"</f>
        <v>INSERT INTO Path (freightsId, stationId, inicialStation, finalStation) VALUES (2002,8,13,11);</v>
      </c>
      <c r="Q13" t="str">
        <f>"INSERT INTO Path (freightsId, stationId, inicialStation, finalStation) VALUES (2003,11,50,11);"</f>
        <v>INSERT INTO Path (freightsId, stationId, inicialStation, finalStation) VALUES (2003,11,50,11);</v>
      </c>
      <c r="Y13" t="str">
        <f>"INSERT INTO Path (freightsId, stationId, inicialStation, finalStation) VALUES (2006,13,12,50);"</f>
        <v>INSERT INTO Path (freightsId, stationId, inicialStation, finalStation) VALUES (2006,13,12,50);</v>
      </c>
      <c r="AG13" t="str">
        <f>"INSERT INTO Path (freightsId, stationId, inicialStation, finalStation) VALUES (2051,21,11,50);"</f>
        <v>INSERT INTO Path (freightsId, stationId, inicialStation, finalStation) VALUES (2051,21,11,50);</v>
      </c>
    </row>
    <row r="14" spans="1:33" x14ac:dyDescent="0.4">
      <c r="B14" t="str">
        <f>"INSERT INTO Freights (id, dateFreights, trainId) VALUES ("&amp;A4&amp;",TO_DATE('2025-10-03', 'YYYY-MM-DD'),5421);"</f>
        <v>INSERT INTO Freights (id, dateFreights, trainId) VALUES (2003,TO_DATE('2025-10-03', 'YYYY-MM-DD'),5421);</v>
      </c>
      <c r="I14" t="str">
        <f>"INSERT INTO Path (freightsId, stationId, inicialStation, finalStation) VALUES (2002,12,13,11);"</f>
        <v>INSERT INTO Path (freightsId, stationId, inicialStation, finalStation) VALUES (2002,12,13,11);</v>
      </c>
      <c r="Y14" t="str">
        <f>"INSERT INTO Path (freightsId, stationId, inicialStation, finalStation) VALUES (2006,43,12,50);"</f>
        <v>INSERT INTO Path (freightsId, stationId, inicialStation, finalStation) VALUES (2006,43,12,50);</v>
      </c>
      <c r="AG14" t="str">
        <f>"INSERT INTO Path (freightsId, stationId, inicialStation, finalStation) VALUES (2051,17,11,50);"</f>
        <v>INSERT INTO Path (freightsId, stationId, inicialStation, finalStation) VALUES (2051,17,11,50);</v>
      </c>
    </row>
    <row r="15" spans="1:33" x14ac:dyDescent="0.4">
      <c r="B15" t="str">
        <f>"INSERT INTO Freights (id, dateFreights, trainId) VALUES ("&amp;A5&amp;",TO_DATE('2025-10-03', 'YYYY-MM-DD'),5421);"</f>
        <v>INSERT INTO Freights (id, dateFreights, trainId) VALUES (2004,TO_DATE('2025-10-03', 'YYYY-MM-DD'),5421);</v>
      </c>
      <c r="I15" t="str">
        <f>"INSERT INTO Path (freightsId, stationId, inicialStation, finalStation) VALUES (2002,17,13,11);"</f>
        <v>INSERT INTO Path (freightsId, stationId, inicialStation, finalStation) VALUES (2002,17,13,11);</v>
      </c>
      <c r="Q15" t="str">
        <f>"INSERT INTO Path (freightsId, stationId, inicialStation, finalStation) VALUES (2004,50,50,21);"</f>
        <v>INSERT INTO Path (freightsId, stationId, inicialStation, finalStation) VALUES (2004,50,50,21);</v>
      </c>
      <c r="Y15" t="str">
        <f>"INSERT INTO Path (freightsId, stationId, inicialStation, finalStation) VALUES (2006,45,12,50);"</f>
        <v>INSERT INTO Path (freightsId, stationId, inicialStation, finalStation) VALUES (2006,45,12,50);</v>
      </c>
      <c r="AG15" t="str">
        <f>"INSERT INTO Path (freightsId, stationId, inicialStation, finalStation) VALUES (2051,12,11,50);"</f>
        <v>INSERT INTO Path (freightsId, stationId, inicialStation, finalStation) VALUES (2051,12,11,50);</v>
      </c>
    </row>
    <row r="16" spans="1:33" x14ac:dyDescent="0.4">
      <c r="B16" t="str">
        <f>"INSERT INTO Freights (id, dateFreights, trainId) VALUES ("&amp;A6&amp;",TO_DATE('2025-10-03', 'YYYY-MM-DD'),5421);"</f>
        <v>INSERT INTO Freights (id, dateFreights, trainId) VALUES (2005,TO_DATE('2025-10-03', 'YYYY-MM-DD'),5421);</v>
      </c>
      <c r="I16" t="str">
        <f>"INSERT INTO Path (freightsId, stationId, inicialStation, finalStation) VALUES (2002,21,13,11);"</f>
        <v>INSERT INTO Path (freightsId, stationId, inicialStation, finalStation) VALUES (2002,21,13,11);</v>
      </c>
      <c r="Q16" t="str">
        <f>"INSERT INTO Path (freightsId, stationId, inicialStation, finalStation) VALUES (2004,48,50,21);"</f>
        <v>INSERT INTO Path (freightsId, stationId, inicialStation, finalStation) VALUES (2004,48,50,21);</v>
      </c>
      <c r="Y16" t="str">
        <f>"INSERT INTO Path (freightsId, stationId, inicialStation, finalStation) VALUES (2006,48,12,50);"</f>
        <v>INSERT INTO Path (freightsId, stationId, inicialStation, finalStation) VALUES (2006,48,12,50);</v>
      </c>
      <c r="AG16" t="str">
        <f>"INSERT INTO Path (freightsId, stationId, inicialStation, finalStation) VALUES (2051,8,11,50);"</f>
        <v>INSERT INTO Path (freightsId, stationId, inicialStation, finalStation) VALUES (2051,8,11,50);</v>
      </c>
    </row>
    <row r="17" spans="2:33" x14ac:dyDescent="0.4">
      <c r="B17" t="str">
        <f>"INSERT INTO Freights (id, dateFreights, trainId) VALUES ("&amp;A7&amp;",TO_DATE('2025-10-03', 'YYYY-MM-DD'),5435);"</f>
        <v>INSERT INTO Freights (id, dateFreights, trainId) VALUES (2006,TO_DATE('2025-10-03', 'YYYY-MM-DD'),5435);</v>
      </c>
      <c r="I17" t="str">
        <f>"INSERT INTO Path (freightsId, stationId, inicialStation, finalStation) VALUES (2002,16,13,11);"</f>
        <v>INSERT INTO Path (freightsId, stationId, inicialStation, finalStation) VALUES (2002,16,13,11);</v>
      </c>
      <c r="Q17" t="str">
        <f>"INSERT INTO Path (freightsId, stationId, inicialStation, finalStation) VALUES (2004,45,50,21);"</f>
        <v>INSERT INTO Path (freightsId, stationId, inicialStation, finalStation) VALUES (2004,45,50,21);</v>
      </c>
      <c r="Y17" t="str">
        <f>"INSERT INTO Path (freightsId, stationId, inicialStation, finalStation) VALUES (2006,50,12,50);"</f>
        <v>INSERT INTO Path (freightsId, stationId, inicialStation, finalStation) VALUES (2006,50,12,50);</v>
      </c>
      <c r="AG17" t="str">
        <f>"INSERT INTO Path (freightsId, stationId, inicialStation, finalStation) VALUES (2051,20,11,50);"</f>
        <v>INSERT INTO Path (freightsId, stationId, inicialStation, finalStation) VALUES (2051,20,11,50);</v>
      </c>
    </row>
    <row r="18" spans="2:33" x14ac:dyDescent="0.4">
      <c r="B18" t="str">
        <f>"INSERT INTO Freights (id, dateFreights, trainId) VALUES ("&amp;A9&amp;",TO_DATE('2025-10-06', 'YYYY-MM-DD'),5437);"</f>
        <v>INSERT INTO Freights (id, dateFreights, trainId) VALUES (2050,TO_DATE('2025-10-06', 'YYYY-MM-DD'),5437);</v>
      </c>
      <c r="I18" t="str">
        <f>"INSERT INTO Path (freightsId, stationId, inicialStation, finalStation) VALUES (2002,11,13,11);"</f>
        <v>INSERT INTO Path (freightsId, stationId, inicialStation, finalStation) VALUES (2002,11,13,11);</v>
      </c>
      <c r="Q18" t="str">
        <f>"INSERT INTO Path (freightsId, stationId, inicialStation, finalStation) VALUES (2004,43,50,21);"</f>
        <v>INSERT INTO Path (freightsId, stationId, inicialStation, finalStation) VALUES (2004,43,50,21);</v>
      </c>
      <c r="AG18" t="str">
        <f>"INSERT INTO Path (freightsId, stationId, inicialStation, finalStation) VALUES (2051,13,11,50);"</f>
        <v>INSERT INTO Path (freightsId, stationId, inicialStation, finalStation) VALUES (2051,13,11,50);</v>
      </c>
    </row>
    <row r="19" spans="2:33" x14ac:dyDescent="0.4">
      <c r="B19" t="str">
        <f>"INSERT INTO Freights (id, dateFreights, trainId) VALUES ("&amp;A10&amp;",TO_DATE('2025-10-06', 'YYYY-MM-DD'),5437);"</f>
        <v>INSERT INTO Freights (id, dateFreights, trainId) VALUES (2051,TO_DATE('2025-10-06', 'YYYY-MM-DD'),5437);</v>
      </c>
      <c r="Q19" t="str">
        <f>"INSERT INTO Path (freightsId, stationId, inicialStation, finalStation) VALUES (2004,13,50,21);"</f>
        <v>INSERT INTO Path (freightsId, stationId, inicialStation, finalStation) VALUES (2004,13,50,21);</v>
      </c>
      <c r="Y19" t="str">
        <f>"INSERT INTO Path (freightsId, stationId, inicialStation, finalStation) VALUES (2007,50,50,5);"</f>
        <v>INSERT INTO Path (freightsId, stationId, inicialStation, finalStation) VALUES (2007,50,50,5);</v>
      </c>
      <c r="AG19" t="str">
        <f>"INSERT INTO Path (freightsId, stationId, inicialStation, finalStation) VALUES (2051,43,11,50);"</f>
        <v>INSERT INTO Path (freightsId, stationId, inicialStation, finalStation) VALUES (2051,43,11,50);</v>
      </c>
    </row>
    <row r="20" spans="2:33" x14ac:dyDescent="0.4">
      <c r="B20" t="str">
        <f>"INSERT INTO Freights (id, dateFreights, trainId) VALUES ("&amp;A8&amp;",TO_DATE('2025-10-03', 'YYYY-MM-DD'),5421);"</f>
        <v>INSERT INTO Freights (id, dateFreights, trainId) VALUES (2007,TO_DATE('2025-10-03', 'YYYY-MM-DD'),5421);</v>
      </c>
      <c r="Q20" t="str">
        <f>"INSERT INTO Path (freightsId, stationId, inicialStation, finalStation) VALUES (2004,20,50,21);"</f>
        <v>INSERT INTO Path (freightsId, stationId, inicialStation, finalStation) VALUES (2004,20,50,21);</v>
      </c>
      <c r="Y20" t="str">
        <f>"INSERT INTO Path (freightsId, stationId, inicialStation, finalStation) VALUES (2007,48,50,5);"</f>
        <v>INSERT INTO Path (freightsId, stationId, inicialStation, finalStation) VALUES (2007,48,50,5);</v>
      </c>
      <c r="AG20" t="str">
        <f>"INSERT INTO Path (freightsId, stationId, inicialStation, finalStation) VALUES (2051,45,11,50);"</f>
        <v>INSERT INTO Path (freightsId, stationId, inicialStation, finalStation) VALUES (2051,45,11,50);</v>
      </c>
    </row>
    <row r="21" spans="2:33" x14ac:dyDescent="0.4">
      <c r="Q21" t="str">
        <f>"INSERT INTO Path (freightsId, stationId, inicialStation, finalStation) VALUES (2004,8,50,21);"</f>
        <v>INSERT INTO Path (freightsId, stationId, inicialStation, finalStation) VALUES (2004,8,50,21);</v>
      </c>
      <c r="Y21" t="str">
        <f>"INSERT INTO Path (freightsId, stationId, inicialStation, finalStation) VALUES (2007,45,50,5);"</f>
        <v>INSERT INTO Path (freightsId, stationId, inicialStation, finalStation) VALUES (2007,45,50,5);</v>
      </c>
      <c r="AG21" t="str">
        <f>"INSERT INTO Path (freightsId, stationId, inicialStation, finalStation) VALUES (2051,48,11,50);"</f>
        <v>INSERT INTO Path (freightsId, stationId, inicialStation, finalStation) VALUES (2051,48,11,50);</v>
      </c>
    </row>
    <row r="22" spans="2:33" x14ac:dyDescent="0.4">
      <c r="B22" t="str">
        <f>"INSERT INTO WagonFreights (wagonNumber, freightsId) VALUES (3330001,2001);"</f>
        <v>INSERT INTO WagonFreights (wagonNumber, freightsId) VALUES (3330001,2001);</v>
      </c>
      <c r="H22" t="str">
        <f>"INSERT INTO WagonFreights (wagonNumber, freightsId) VALUES (3563077, 2005);"</f>
        <v>INSERT INTO WagonFreights (wagonNumber, freightsId) VALUES (3563077, 2005);</v>
      </c>
      <c r="Q22" t="str">
        <f>"INSERT INTO Path (freightsId, stationId, inicialStation, finalStation) VALUES (2004,12,50,21);"</f>
        <v>INSERT INTO Path (freightsId, stationId, inicialStation, finalStation) VALUES (2004,12,50,21);</v>
      </c>
      <c r="Y22" t="str">
        <f>"INSERT INTO Path (freightsId, stationId, inicialStation, finalStation) VALUES (2007,43,50,5);"</f>
        <v>INSERT INTO Path (freightsId, stationId, inicialStation, finalStation) VALUES (2007,43,50,5);</v>
      </c>
      <c r="AG22" t="str">
        <f>"INSERT INTO Path (freightsId, stationId, inicialStation, finalStation) VALUES (2051,50,11,50);"</f>
        <v>INSERT INTO Path (freightsId, stationId, inicialStation, finalStation) VALUES (2051,50,11,50);</v>
      </c>
    </row>
    <row r="23" spans="2:33" x14ac:dyDescent="0.4">
      <c r="B23" t="str">
        <f>"INSERT INTO WagonFreights (wagonNumber, freightsId) VALUES (3330002,2001);"</f>
        <v>INSERT INTO WagonFreights (wagonNumber, freightsId) VALUES (3330002,2001);</v>
      </c>
      <c r="H23" t="str">
        <f>"INSERT INTO WagonFreights (wagonNumber, freightsId) VALUES (3563078, 2005);"</f>
        <v>INSERT INTO WagonFreights (wagonNumber, freightsId) VALUES (3563078, 2005);</v>
      </c>
      <c r="Q23" t="str">
        <f>"INSERT INTO Path (freightsId, stationId, inicialStation, finalStation) VALUES (2004,17,50,21);"</f>
        <v>INSERT INTO Path (freightsId, stationId, inicialStation, finalStation) VALUES (2004,17,50,21);</v>
      </c>
      <c r="Y23" t="str">
        <f>"INSERT INTO Path (freightsId, stationId, inicialStation, finalStation) VALUES (2007,13,50,5);"</f>
        <v>INSERT INTO Path (freightsId, stationId, inicialStation, finalStation) VALUES (2007,13,50,5);</v>
      </c>
    </row>
    <row r="24" spans="2:33" x14ac:dyDescent="0.4">
      <c r="B24" t="str">
        <f>"INSERT INTO WagonFreights (wagonNumber, freightsId) VALUES (3330004,2001);"</f>
        <v>INSERT INTO WagonFreights (wagonNumber, freightsId) VALUES (3330004,2001);</v>
      </c>
      <c r="H24" t="str">
        <f>"INSERT INTO WagonFreights (wagonNumber, freightsId) VALUES (3563079, 2005);"</f>
        <v>INSERT INTO WagonFreights (wagonNumber, freightsId) VALUES (3563079, 2005);</v>
      </c>
      <c r="Q24" t="str">
        <f>"INSERT INTO Path (freightsId, stationId, inicialStation, finalStation) VALUES (2004,21,50,21);"</f>
        <v>INSERT INTO Path (freightsId, stationId, inicialStation, finalStation) VALUES (2004,21,50,21);</v>
      </c>
      <c r="Y24" t="str">
        <f>"INSERT INTO Path (freightsId, stationId, inicialStation, finalStation) VALUES (2007,5,50,5);"</f>
        <v>INSERT INTO Path (freightsId, stationId, inicialStation, finalStation) VALUES (2007,5,50,5);</v>
      </c>
    </row>
    <row r="25" spans="2:33" x14ac:dyDescent="0.4">
      <c r="B25" t="str">
        <f>"INSERT INTO WagonFreights (wagonNumber, freightsId) VALUES (3330005,2001);"</f>
        <v>INSERT INTO WagonFreights (wagonNumber, freightsId) VALUES (3330005,2001);</v>
      </c>
      <c r="H25" t="str">
        <f>"INSERT INTO WagonFreights (wagonNumber, freightsId) VALUES (3563080, 2005);"</f>
        <v>INSERT INTO WagonFreights (wagonNumber, freightsId) VALUES (3563080, 2005);</v>
      </c>
    </row>
    <row r="26" spans="2:33" x14ac:dyDescent="0.4">
      <c r="B26" t="str">
        <f>"INSERT INTO WagonFreights (wagonNumber, freightsId) VALUES (3330006,2001);"</f>
        <v>INSERT INTO WagonFreights (wagonNumber, freightsId) VALUES (3330006,2001);</v>
      </c>
    </row>
    <row r="27" spans="2:33" x14ac:dyDescent="0.4">
      <c r="H27" t="str">
        <f>"INSERT INTO WagonFreights (wagonNumber, freightsId) VALUES (3330003, 2006);"</f>
        <v>INSERT INTO WagonFreights (wagonNumber, freightsId) VALUES (3330003, 2006);</v>
      </c>
    </row>
    <row r="28" spans="2:33" x14ac:dyDescent="0.4">
      <c r="B28" t="str">
        <f>"INSERT INTO WagonFreights (wagonNumber, freightsId) VALUES (3563089,2002);"</f>
        <v>INSERT INTO WagonFreights (wagonNumber, freightsId) VALUES (3563089,2002);</v>
      </c>
      <c r="H28" t="str">
        <f>"INSERT INTO WagonFreights (wagonNumber, freightsId) VALUES (3330007, 2006);"</f>
        <v>INSERT INTO WagonFreights (wagonNumber, freightsId) VALUES (3330007, 2006);</v>
      </c>
    </row>
    <row r="30" spans="2:33" x14ac:dyDescent="0.4">
      <c r="B30" t="str">
        <f>"INSERT INTO WagonFreights (wagonNumber, freightsId) VALUES (1811011, 2003);"</f>
        <v>INSERT INTO WagonFreights (wagonNumber, freightsId) VALUES (1811011, 2003);</v>
      </c>
      <c r="H30" t="str">
        <f>"INSERT INTO WagonFreights (wagonNumber, freightsId) VALUES (3563090, 2007);"</f>
        <v>INSERT INTO WagonFreights (wagonNumber, freightsId) VALUES (3563090, 2007);</v>
      </c>
    </row>
    <row r="31" spans="2:33" x14ac:dyDescent="0.4">
      <c r="B31" t="str">
        <f>"INSERT INTO WagonFreights (wagonNumber, freightsId) VALUES (1811012, 2003);"</f>
        <v>INSERT INTO WagonFreights (wagonNumber, freightsId) VALUES (1811012, 2003);</v>
      </c>
      <c r="H31" t="str">
        <f>"INSERT INTO WagonFreights (wagonNumber, freightsId) VALUES (3563091, 2007);"</f>
        <v>INSERT INTO WagonFreights (wagonNumber, freightsId) VALUES (3563091, 2007);</v>
      </c>
    </row>
    <row r="32" spans="2:33" x14ac:dyDescent="0.4">
      <c r="H32" t="str">
        <f>"INSERT INTO WagonFreights (wagonNumber, freightsId) VALUES (3563092, 2007);"</f>
        <v>INSERT INTO WagonFreights (wagonNumber, freightsId) VALUES (3563092, 2007);</v>
      </c>
    </row>
    <row r="33" spans="2:8" x14ac:dyDescent="0.4">
      <c r="B33" t="str">
        <f>"INSERT INTO WagonFreights (wagonNumber, freightsId) VALUES (1811013, 2004);"</f>
        <v>INSERT INTO WagonFreights (wagonNumber, freightsId) VALUES (1811013, 2004);</v>
      </c>
    </row>
    <row r="34" spans="2:8" x14ac:dyDescent="0.4">
      <c r="H34" t="str">
        <f>"INSERT INTO WagonFreights (wagonNumber, freightsId) VALUES (3330001, 2050);"</f>
        <v>INSERT INTO WagonFreights (wagonNumber, freightsId) VALUES (3330001, 2050);</v>
      </c>
    </row>
    <row r="35" spans="2:8" x14ac:dyDescent="0.4">
      <c r="H35" t="str">
        <f>"INSERT INTO WagonFreights (wagonNumber, freightsId) VALUES (3330002, 2050);"</f>
        <v>INSERT INTO WagonFreights (wagonNumber, freightsId) VALUES (3330002, 2050);</v>
      </c>
    </row>
    <row r="36" spans="2:8" x14ac:dyDescent="0.4">
      <c r="H36" t="str">
        <f>"INSERT INTO WagonFreights (wagonNumber, freightsId) VALUES (3330004, 2050);"</f>
        <v>INSERT INTO WagonFreights (wagonNumber, freightsId) VALUES (3330004, 2050);</v>
      </c>
    </row>
    <row r="37" spans="2:8" x14ac:dyDescent="0.4">
      <c r="H37" t="str">
        <f>"INSERT INTO WagonFreights (wagonNumber, freightsId) VALUES (3330005, 2050);"</f>
        <v>INSERT INTO WagonFreights (wagonNumber, freightsId) VALUES (3330005, 2050);</v>
      </c>
    </row>
    <row r="38" spans="2:8" x14ac:dyDescent="0.4">
      <c r="H38" t="str">
        <f>"INSERT INTO WagonFreights (wagonNumber, freightsId) VALUES (3330006, 2050);"</f>
        <v>INSERT INTO WagonFreights (wagonNumber, freightsId) VALUES (3330006, 2050);</v>
      </c>
    </row>
    <row r="40" spans="2:8" x14ac:dyDescent="0.4">
      <c r="H40" t="str">
        <f>"INSERT INTO WagonFreights (wagonNumber, freightsId) VALUES (1811011, 2051);"</f>
        <v>INSERT INTO WagonFreights (wagonNumber, freightsId) VALUES (1811011, 2051);</v>
      </c>
    </row>
    <row r="41" spans="2:8" x14ac:dyDescent="0.4">
      <c r="H41" t="str">
        <f>"INSERT INTO WagonFreights (wagonNumber, freightsId) VALUES (1811012, 2051);"</f>
        <v>INSERT INTO WagonFreights (wagonNumber, freightsId) VALUES (1811012, 2051);</v>
      </c>
    </row>
    <row r="42" spans="2:8" x14ac:dyDescent="0.4">
      <c r="H42" t="str">
        <f>"INSERT INTO WagonFreights (wagonNumber, freightsId) VALUES (3563077, 2051);"</f>
        <v>INSERT INTO WagonFreights (wagonNumber, freightsId) VALUES (3563077, 2051);</v>
      </c>
    </row>
    <row r="43" spans="2:8" x14ac:dyDescent="0.4">
      <c r="H43" t="str">
        <f>"INSERT INTO WagonFreights (wagonNumber, freightsId) VALUES (3563078, 2051);"</f>
        <v>INSERT INTO WagonFreights (wagonNumber, freightsId) VALUES (3563078, 2051);</v>
      </c>
    </row>
    <row r="44" spans="2:8" x14ac:dyDescent="0.4">
      <c r="H44" t="str">
        <f>"INSERT INTO WagonFreights (wagonNumber, freightsId) VALUES (3563079, 2051);"</f>
        <v>INSERT INTO WagonFreights (wagonNumber, freightsId) VALUES (3563079, 2051);</v>
      </c>
    </row>
    <row r="45" spans="2:8" x14ac:dyDescent="0.4">
      <c r="H45" t="str">
        <f>"INSERT INTO WagonFreights (wagonNumber, freightsId) VALUES (3563080, 2051);"</f>
        <v>INSERT INTO WagonFreights (wagonNumber, freightsId) VALUES (3563080, 2051);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050A-2A4D-9940-B186-94EA523F784D}">
  <dimension ref="A1:O34"/>
  <sheetViews>
    <sheetView topLeftCell="H9" zoomScale="80" zoomScaleNormal="120" workbookViewId="0">
      <selection activeCell="O22" sqref="O22"/>
    </sheetView>
  </sheetViews>
  <sheetFormatPr defaultColWidth="10.6640625" defaultRowHeight="16" x14ac:dyDescent="0.4"/>
  <cols>
    <col min="7" max="7" width="28.33203125" customWidth="1"/>
    <col min="9" max="9" width="34.6640625" bestFit="1" customWidth="1"/>
  </cols>
  <sheetData>
    <row r="1" spans="1:9" x14ac:dyDescent="0.4">
      <c r="A1" t="s">
        <v>0</v>
      </c>
      <c r="B1" t="s">
        <v>61</v>
      </c>
      <c r="C1" t="s">
        <v>126</v>
      </c>
      <c r="D1" t="s">
        <v>131</v>
      </c>
      <c r="E1" t="s">
        <v>26</v>
      </c>
      <c r="F1" t="s">
        <v>27</v>
      </c>
      <c r="G1" t="s">
        <v>135</v>
      </c>
      <c r="H1" t="s">
        <v>134</v>
      </c>
      <c r="I1" t="s">
        <v>137</v>
      </c>
    </row>
    <row r="2" spans="1:9" x14ac:dyDescent="0.4">
      <c r="A2">
        <v>5421</v>
      </c>
      <c r="B2" t="s">
        <v>48</v>
      </c>
      <c r="C2" s="7">
        <v>45933</v>
      </c>
      <c r="D2" s="3">
        <v>0.40625</v>
      </c>
      <c r="E2">
        <v>50</v>
      </c>
      <c r="F2">
        <v>11</v>
      </c>
      <c r="G2" t="s">
        <v>132</v>
      </c>
      <c r="H2" t="s">
        <v>136</v>
      </c>
      <c r="I2" t="s">
        <v>138</v>
      </c>
    </row>
    <row r="3" spans="1:9" x14ac:dyDescent="0.4">
      <c r="A3">
        <v>5435</v>
      </c>
      <c r="B3" t="s">
        <v>48</v>
      </c>
      <c r="C3" s="7">
        <v>45933</v>
      </c>
      <c r="D3" s="3">
        <v>0.75</v>
      </c>
      <c r="E3">
        <v>11</v>
      </c>
      <c r="F3">
        <v>50</v>
      </c>
      <c r="G3">
        <v>2006</v>
      </c>
      <c r="H3">
        <v>5623</v>
      </c>
      <c r="I3" t="s">
        <v>139</v>
      </c>
    </row>
    <row r="4" spans="1:9" x14ac:dyDescent="0.4">
      <c r="A4">
        <v>5437</v>
      </c>
      <c r="B4" t="s">
        <v>48</v>
      </c>
      <c r="C4" s="7">
        <v>45936</v>
      </c>
      <c r="D4" s="3">
        <v>0.41666666666666669</v>
      </c>
      <c r="E4">
        <v>11</v>
      </c>
      <c r="F4">
        <v>50</v>
      </c>
      <c r="G4" t="s">
        <v>133</v>
      </c>
      <c r="H4">
        <v>5621</v>
      </c>
      <c r="I4" t="s">
        <v>139</v>
      </c>
    </row>
    <row r="7" spans="1:9" x14ac:dyDescent="0.4">
      <c r="B7" t="str">
        <f>"INSERT INTO Train (id, dateTrain, timeTrain) VALUES ("&amp;A2&amp;",TO_DATE('2025-10-03', 'YYYY-MM-DD'),TO_DATE('09:45:00', 'HH24:MI:SS'));"</f>
        <v>INSERT INTO Train (id, dateTrain, timeTrain) VALUES (5421,TO_DATE('2025-10-03', 'YYYY-MM-DD'),TO_DATE('09:45:00', 'HH24:MI:SS'));</v>
      </c>
    </row>
    <row r="8" spans="1:9" x14ac:dyDescent="0.4">
      <c r="B8" t="str">
        <f>"INSERT INTO Train (id, dateTrain, timeTrain) VALUES ("&amp;A3&amp;",TO_DATE('2025-10-03', 'YYYY-MM-DD'),TO_DATE('18:00:00', 'HH24:MI:SS'));"</f>
        <v>INSERT INTO Train (id, dateTrain, timeTrain) VALUES (5435,TO_DATE('2025-10-03', 'YYYY-MM-DD'),TO_DATE('18:00:00', 'HH24:MI:SS'));</v>
      </c>
    </row>
    <row r="9" spans="1:9" x14ac:dyDescent="0.4">
      <c r="B9" t="str">
        <f>"INSERT INTO Train (id, dateTrain, timeTrain) VALUES ("&amp;A4&amp;",TO_DATE('2025-10-06', 'YYYY-MM-DD'),TO_DATE('10:00:00', 'HH24:MI:SS'));"</f>
        <v>INSERT INTO Train (id, dateTrain, timeTrain) VALUES (5437,TO_DATE('2025-10-06', 'YYYY-MM-DD'),TO_DATE('10:00:00', 'HH24:MI:SS'));</v>
      </c>
    </row>
    <row r="11" spans="1:9" x14ac:dyDescent="0.4">
      <c r="B11" t="str">
        <f>"INSERT INTO Locomotive_Train (locomotiveNumber,trainId) VALUES (5621 ,"&amp;A2&amp;");"</f>
        <v>INSERT INTO Locomotive_Train (locomotiveNumber,trainId) VALUES (5621 ,5421);</v>
      </c>
    </row>
    <row r="12" spans="1:9" x14ac:dyDescent="0.4">
      <c r="B12" t="str">
        <f>"INSERT INTO Locomotive_Train (locomotiveNumber,trainId) VALUES (5623,"&amp;A2&amp;");"</f>
        <v>INSERT INTO Locomotive_Train (locomotiveNumber,trainId) VALUES (5623,5421);</v>
      </c>
    </row>
    <row r="13" spans="1:9" x14ac:dyDescent="0.4">
      <c r="B13" t="str">
        <f>"INSERT INTO Locomotive_Train (locomotiveNumber,trainId) VALUES (5623,"&amp;A3&amp;");"</f>
        <v>INSERT INTO Locomotive_Train (locomotiveNumber,trainId) VALUES (5623,5435);</v>
      </c>
    </row>
    <row r="14" spans="1:9" x14ac:dyDescent="0.4">
      <c r="B14" t="str">
        <f>"INSERT INTO Locomotive_Train (locomotiveNumber,trainId) VALUES (5621,"&amp;A4&amp;");"</f>
        <v>INSERT INTO Locomotive_Train (locomotiveNumber,trainId) VALUES (5621,5437);</v>
      </c>
    </row>
    <row r="16" spans="1:9" x14ac:dyDescent="0.4">
      <c r="B16" t="str">
        <f>"INSERT INTO OperatorTrain (operatorVatNumber, trainId) VALUES ('PT509017800',"&amp;A2&amp;");"</f>
        <v>INSERT INTO OperatorTrain (operatorVatNumber, trainId) VALUES ('PT509017800',5421);</v>
      </c>
    </row>
    <row r="17" spans="2:15" x14ac:dyDescent="0.4">
      <c r="B17" t="str">
        <f>"INSERT INTO OperatorTrain (operatorVatNumber, trainId) VALUES ('PT509017800',"&amp;A3&amp;");"</f>
        <v>INSERT INTO OperatorTrain (operatorVatNumber, trainId) VALUES ('PT509017800',5435);</v>
      </c>
    </row>
    <row r="18" spans="2:15" x14ac:dyDescent="0.4">
      <c r="B18" t="str">
        <f>"INSERT INTO OperatorTrain (operatorVatNumber, trainId) VALUES ('PT509017800',"&amp;A4&amp;");"</f>
        <v>INSERT INTO OperatorTrain (operatorVatNumber, trainId) VALUES ('PT509017800',5437);</v>
      </c>
    </row>
    <row r="20" spans="2:15" x14ac:dyDescent="0.4">
      <c r="B20" t="str">
        <f>"INSERT INTO RouteType (id, description) VALUES (1,'simple');"</f>
        <v>INSERT INTO RouteType (id, description) VALUES (1,'simple');</v>
      </c>
    </row>
    <row r="21" spans="2:15" x14ac:dyDescent="0.4">
      <c r="B21" t="str">
        <f>"INSERT INTO RouteType (id, description) VALUES (2,'complex');"</f>
        <v>INSERT INTO RouteType (id, description) VALUES (2,'complex');</v>
      </c>
    </row>
    <row r="23" spans="2:15" x14ac:dyDescent="0.4">
      <c r="B23" t="str">
        <f>"INSERT INTO Route (trainId, stationId, routeTypeId, inicialStation, finalStation) VALUES (5421,50,2,50,11);"</f>
        <v>INSERT INTO Route (trainId, stationId, routeTypeId, inicialStation, finalStation) VALUES (5421,50,2,50,11);</v>
      </c>
      <c r="I23" t="str">
        <f>"INSERT INTO Route (trainId, stationId, routeTypeId, inicialStation, finalStation) VALUES (5435,11,1,11,50);"</f>
        <v>INSERT INTO Route (trainId, stationId, routeTypeId, inicialStation, finalStation) VALUES (5435,11,1,11,50);</v>
      </c>
      <c r="O23" t="str">
        <f>"INSERT INTO Route (trainId, stationId, routeTypeId, inicialStation, finalStation) VALUES (5437,11,2,11,50);"</f>
        <v>INSERT INTO Route (trainId, stationId, routeTypeId, inicialStation, finalStation) VALUES (5437,11,2,11,50);</v>
      </c>
    </row>
    <row r="24" spans="2:15" x14ac:dyDescent="0.4">
      <c r="B24" t="str">
        <f>"INSERT INTO Route (trainId, stationId, routeTypeId, inicialStation, finalStation) VALUES (5421,48,2,50,11);"</f>
        <v>INSERT INTO Route (trainId, stationId, routeTypeId, inicialStation, finalStation) VALUES (5421,48,2,50,11);</v>
      </c>
      <c r="I24" t="str">
        <f>"INSERT INTO Route (trainId, stationId, routeTypeId, inicialStation, finalStation) VALUES (5435,16,1,11,50);"</f>
        <v>INSERT INTO Route (trainId, stationId, routeTypeId, inicialStation, finalStation) VALUES (5435,16,1,11,50);</v>
      </c>
      <c r="O24" t="str">
        <f>"INSERT INTO Route (trainId, stationId, routeTypeId, inicialStation, finalStation) VALUES (5437,16,2,11,50);"</f>
        <v>INSERT INTO Route (trainId, stationId, routeTypeId, inicialStation, finalStation) VALUES (5437,16,2,11,50);</v>
      </c>
    </row>
    <row r="25" spans="2:15" x14ac:dyDescent="0.4">
      <c r="B25" t="str">
        <f>"INSERT INTO Route (trainId, stationId, routeTypeId, inicialStation, finalStation) VALUES (5421,45,2,50,11);"</f>
        <v>INSERT INTO Route (trainId, stationId, routeTypeId, inicialStation, finalStation) VALUES (5421,45,2,50,11);</v>
      </c>
      <c r="I25" t="str">
        <f>"INSERT INTO Route (trainId, stationId, routeTypeId, inicialStation, finalStation) VALUES (5435,21,1,11,50);"</f>
        <v>INSERT INTO Route (trainId, stationId, routeTypeId, inicialStation, finalStation) VALUES (5435,21,1,11,50);</v>
      </c>
      <c r="O25" t="str">
        <f>"INSERT INTO Route (trainId, stationId, routeTypeId, inicialStation, finalStation) VALUES (5437,21,2,11,50);"</f>
        <v>INSERT INTO Route (trainId, stationId, routeTypeId, inicialStation, finalStation) VALUES (5437,21,2,11,50);</v>
      </c>
    </row>
    <row r="26" spans="2:15" x14ac:dyDescent="0.4">
      <c r="B26" t="str">
        <f>"INSERT INTO Route (trainId, stationId, routeTypeId, inicialStation, finalStation) VALUES (5421,43,2,50,11);"</f>
        <v>INSERT INTO Route (trainId, stationId, routeTypeId, inicialStation, finalStation) VALUES (5421,43,2,50,11);</v>
      </c>
      <c r="I26" t="str">
        <f>"INSERT INTO Route (trainId, stationId, routeTypeId, inicialStation, finalStation) VALUES (5435,17,1,11,50);"</f>
        <v>INSERT INTO Route (trainId, stationId, routeTypeId, inicialStation, finalStation) VALUES (5435,17,1,11,50);</v>
      </c>
      <c r="O26" t="str">
        <f>"INSERT INTO Route (trainId, stationId, routeTypeId, inicialStation, finalStation) VALUES (5437,17,2,11,50);"</f>
        <v>INSERT INTO Route (trainId, stationId, routeTypeId, inicialStation, finalStation) VALUES (5437,17,2,11,50);</v>
      </c>
    </row>
    <row r="27" spans="2:15" x14ac:dyDescent="0.4">
      <c r="B27" t="str">
        <f>"INSERT INTO Route (trainId, stationId, routeTypeId, inicialStation, finalStation) VALUES (5421,13,2,50,11);"</f>
        <v>INSERT INTO Route (trainId, stationId, routeTypeId, inicialStation, finalStation) VALUES (5421,13,2,50,11);</v>
      </c>
      <c r="I27" t="str">
        <f>"INSERT INTO Route (trainId, stationId, routeTypeId, inicialStation, finalStation) VALUES (5435,12,1,11,50);"</f>
        <v>INSERT INTO Route (trainId, stationId, routeTypeId, inicialStation, finalStation) VALUES (5435,12,1,11,50);</v>
      </c>
      <c r="O27" t="str">
        <f>"INSERT INTO Route (trainId, stationId, routeTypeId, inicialStation, finalStation) VALUES (5437,12,2,11,50);"</f>
        <v>INSERT INTO Route (trainId, stationId, routeTypeId, inicialStation, finalStation) VALUES (5437,12,2,11,50);</v>
      </c>
    </row>
    <row r="28" spans="2:15" x14ac:dyDescent="0.4">
      <c r="B28" t="str">
        <f>"INSERT INTO Route (trainId, stationId, routeTypeId, inicialStation, finalStation) VALUES (5421,20,2,50,11);"</f>
        <v>INSERT INTO Route (trainId, stationId, routeTypeId, inicialStation, finalStation) VALUES (5421,20,2,50,11);</v>
      </c>
      <c r="I28" t="str">
        <f>"INSERT INTO Route (trainId, stationId, routeTypeId, inicialStation, finalStation) VALUES (5435,8,1,11,50);"</f>
        <v>INSERT INTO Route (trainId, stationId, routeTypeId, inicialStation, finalStation) VALUES (5435,8,1,11,50);</v>
      </c>
      <c r="O28" t="str">
        <f>"INSERT INTO Route (trainId, stationId, routeTypeId, inicialStation, finalStation) VALUES (5437,8,2,11,50);"</f>
        <v>INSERT INTO Route (trainId, stationId, routeTypeId, inicialStation, finalStation) VALUES (5437,8,2,11,50);</v>
      </c>
    </row>
    <row r="29" spans="2:15" x14ac:dyDescent="0.4">
      <c r="B29" t="str">
        <f>"INSERT INTO Route (trainId, stationId, routeTypeId, inicialStation, finalStation) VALUES (5421,8,2,50,11);"</f>
        <v>INSERT INTO Route (trainId, stationId, routeTypeId, inicialStation, finalStation) VALUES (5421,8,2,50,11);</v>
      </c>
      <c r="I29" t="str">
        <f>"INSERT INTO Route (trainId, stationId, routeTypeId, inicialStation, finalStation) VALUES (5435,20,1,11,50);"</f>
        <v>INSERT INTO Route (trainId, stationId, routeTypeId, inicialStation, finalStation) VALUES (5435,20,1,11,50);</v>
      </c>
      <c r="O29" t="str">
        <f>"INSERT INTO Route (trainId, stationId, routeTypeId, inicialStation, finalStation) VALUES (5437,20,2,11,50);"</f>
        <v>INSERT INTO Route (trainId, stationId, routeTypeId, inicialStation, finalStation) VALUES (5437,20,2,11,50);</v>
      </c>
    </row>
    <row r="30" spans="2:15" x14ac:dyDescent="0.4">
      <c r="B30" t="str">
        <f>"INSERT INTO Route (trainId, stationId, routeTypeId, inicialStation, finalStation) VALUES (5421,12,2,50,11);"</f>
        <v>INSERT INTO Route (trainId, stationId, routeTypeId, inicialStation, finalStation) VALUES (5421,12,2,50,11);</v>
      </c>
      <c r="I30" t="str">
        <f>"INSERT INTO Route (trainId, stationId, routeTypeId, inicialStation, finalStation) VALUES (5435,13,1,11,50);"</f>
        <v>INSERT INTO Route (trainId, stationId, routeTypeId, inicialStation, finalStation) VALUES (5435,13,1,11,50);</v>
      </c>
      <c r="O30" t="str">
        <f>"INSERT INTO Route (trainId, stationId, routeTypeId, inicialStation, finalStation) VALUES (5437,13,2,11,50);"</f>
        <v>INSERT INTO Route (trainId, stationId, routeTypeId, inicialStation, finalStation) VALUES (5437,13,2,11,50);</v>
      </c>
    </row>
    <row r="31" spans="2:15" x14ac:dyDescent="0.4">
      <c r="B31" t="str">
        <f>"INSERT INTO Route (trainId, stationId, routeTypeId, inicialStation, finalStation) VALUES (5421,17,2,50,11);"</f>
        <v>INSERT INTO Route (trainId, stationId, routeTypeId, inicialStation, finalStation) VALUES (5421,17,2,50,11);</v>
      </c>
      <c r="I31" t="str">
        <f>"INSERT INTO Route (trainId, stationId, routeTypeId, inicialStation, finalStation) VALUES (5435,43,1,11,50);"</f>
        <v>INSERT INTO Route (trainId, stationId, routeTypeId, inicialStation, finalStation) VALUES (5435,43,1,11,50);</v>
      </c>
      <c r="O31" t="str">
        <f>"INSERT INTO Route (trainId, stationId, routeTypeId, inicialStation, finalStation) VALUES (5437,43,2,11,50);"</f>
        <v>INSERT INTO Route (trainId, stationId, routeTypeId, inicialStation, finalStation) VALUES (5437,43,2,11,50);</v>
      </c>
    </row>
    <row r="32" spans="2:15" x14ac:dyDescent="0.4">
      <c r="B32" t="str">
        <f>"INSERT INTO Route (trainId, stationId, routeTypeId, inicialStation, finalStation) VALUES (5421,21,2,50,11);"</f>
        <v>INSERT INTO Route (trainId, stationId, routeTypeId, inicialStation, finalStation) VALUES (5421,21,2,50,11);</v>
      </c>
      <c r="I32" t="str">
        <f>"INSERT INTO Route (trainId, stationId, routeTypeId, inicialStation, finalStation) VALUES (5435,45,1,11,50);"</f>
        <v>INSERT INTO Route (trainId, stationId, routeTypeId, inicialStation, finalStation) VALUES (5435,45,1,11,50);</v>
      </c>
      <c r="O32" t="str">
        <f>"INSERT INTO Route (trainId, stationId, routeTypeId, inicialStation, finalStation) VALUES (5437,45,2,11,50);"</f>
        <v>INSERT INTO Route (trainId, stationId, routeTypeId, inicialStation, finalStation) VALUES (5437,45,2,11,50);</v>
      </c>
    </row>
    <row r="33" spans="2:15" x14ac:dyDescent="0.4">
      <c r="B33" t="str">
        <f>"INSERT INTO Route (trainId, stationId, routeTypeId, inicialStation, finalStation) VALUES (5421,16,2,50,11);"</f>
        <v>INSERT INTO Route (trainId, stationId, routeTypeId, inicialStation, finalStation) VALUES (5421,16,2,50,11);</v>
      </c>
      <c r="I33" t="str">
        <f>"INSERT INTO Route (trainId, stationId, routeTypeId, inicialStation, finalStation) VALUES (5435,48,1,11,50);"</f>
        <v>INSERT INTO Route (trainId, stationId, routeTypeId, inicialStation, finalStation) VALUES (5435,48,1,11,50);</v>
      </c>
      <c r="O33" t="str">
        <f>"INSERT INTO Route (trainId, stationId, routeTypeId, inicialStation, finalStation) VALUES (5437,48,2,11,50);"</f>
        <v>INSERT INTO Route (trainId, stationId, routeTypeId, inicialStation, finalStation) VALUES (5437,48,2,11,50);</v>
      </c>
    </row>
    <row r="34" spans="2:15" x14ac:dyDescent="0.4">
      <c r="B34" t="str">
        <f>"INSERT INTO Route (trainId, stationId, routeTypeId, inicialStation, finalStation) VALUES (5421,11,2,50,11);"</f>
        <v>INSERT INTO Route (trainId, stationId, routeTypeId, inicialStation, finalStation) VALUES (5421,11,2,50,11);</v>
      </c>
      <c r="I34" t="str">
        <f>"INSERT INTO Route (trainId, stationId, routeTypeId, inicialStation, finalStation) VALUES (5435,50,1,11,50);"</f>
        <v>INSERT INTO Route (trainId, stationId, routeTypeId, inicialStation, finalStation) VALUES (5435,50,1,11,50);</v>
      </c>
      <c r="O34" t="str">
        <f>"INSERT INTO Route (trainId, stationId, routeTypeId, inicialStation, finalStation) VALUES (5437,50,2,11,50);"</f>
        <v>INSERT INTO Route (trainId, stationId, routeTypeId, inicialStation, finalStation) VALUES (5437,50,2,11,50);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10</vt:i4>
      </vt:variant>
    </vt:vector>
  </HeadingPairs>
  <TitlesOfParts>
    <vt:vector size="10" baseType="lpstr">
      <vt:lpstr>Facility</vt:lpstr>
      <vt:lpstr>Line</vt:lpstr>
      <vt:lpstr>Segment</vt:lpstr>
      <vt:lpstr>Owner</vt:lpstr>
      <vt:lpstr>Operator</vt:lpstr>
      <vt:lpstr>Locomotive</vt:lpstr>
      <vt:lpstr>Wagon Model</vt:lpstr>
      <vt:lpstr>Wagon</vt:lpstr>
      <vt:lpstr>Freights</vt:lpstr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Martins</dc:creator>
  <cp:lastModifiedBy>Rafael Filipe Correia Santos</cp:lastModifiedBy>
  <dcterms:created xsi:type="dcterms:W3CDTF">2025-10-12T21:02:47Z</dcterms:created>
  <dcterms:modified xsi:type="dcterms:W3CDTF">2025-11-22T19:29:36Z</dcterms:modified>
</cp:coreProperties>
</file>