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isepipp-my.sharepoint.com/personal/1221267_isep_ipp_pt/Documents/"/>
    </mc:Choice>
  </mc:AlternateContent>
  <xr:revisionPtr revIDLastSave="478" documentId="8_{1D45F37E-73D0-49D5-81ED-3AA71E0EC2C2}" xr6:coauthVersionLast="47" xr6:coauthVersionMax="47" xr10:uidLastSave="{80AD8D2F-5393-4334-B573-6FB63E81E363}"/>
  <bookViews>
    <workbookView xWindow="-110" yWindow="-110" windowWidth="22620" windowHeight="13500" activeTab="5" xr2:uid="{7F4AA980-AB96-5943-AE3E-BE2681F30F29}"/>
  </bookViews>
  <sheets>
    <sheet name="Facility" sheetId="1" r:id="rId1"/>
    <sheet name="Line" sheetId="2" r:id="rId2"/>
    <sheet name="Segment" sheetId="3" r:id="rId3"/>
    <sheet name="Owner" sheetId="4" r:id="rId4"/>
    <sheet name="Operator" sheetId="5" r:id="rId5"/>
    <sheet name="Locomotive" sheetId="6" r:id="rId6"/>
    <sheet name="Wagon Model" sheetId="7" r:id="rId7"/>
    <sheet name="Wagon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6" l="1"/>
  <c r="C19" i="6"/>
  <c r="C27" i="6"/>
  <c r="C25" i="6"/>
  <c r="C26" i="6"/>
  <c r="C24" i="6"/>
  <c r="C16" i="6"/>
  <c r="C17" i="6"/>
  <c r="C14" i="6"/>
  <c r="C13" i="6"/>
  <c r="C11" i="6"/>
  <c r="G13" i="8"/>
  <c r="G17" i="8"/>
  <c r="G16" i="8"/>
  <c r="G15" i="8"/>
  <c r="G14" i="8"/>
  <c r="G12" i="8"/>
  <c r="G11" i="8"/>
  <c r="G10" i="8"/>
  <c r="G9" i="8"/>
  <c r="G8" i="8"/>
  <c r="G7" i="8"/>
  <c r="G6" i="8"/>
  <c r="G5" i="8"/>
  <c r="G4" i="8"/>
  <c r="G3" i="8"/>
  <c r="G2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B14" i="7"/>
  <c r="B19" i="7"/>
  <c r="B18" i="7"/>
  <c r="B17" i="7"/>
  <c r="B16" i="7"/>
  <c r="B15" i="7"/>
  <c r="B13" i="7"/>
  <c r="B11" i="7"/>
  <c r="B10" i="7"/>
  <c r="J6" i="3"/>
  <c r="B18" i="3"/>
  <c r="B19" i="3"/>
  <c r="B20" i="3"/>
  <c r="B21" i="3"/>
  <c r="B22" i="3"/>
  <c r="B23" i="3"/>
  <c r="B24" i="3"/>
  <c r="B25" i="3"/>
  <c r="B26" i="3"/>
  <c r="B27" i="3"/>
  <c r="B28" i="3"/>
  <c r="B29" i="3"/>
  <c r="B17" i="3"/>
  <c r="J7" i="3"/>
  <c r="K5" i="2"/>
  <c r="K6" i="2"/>
  <c r="K7" i="2"/>
  <c r="K8" i="2"/>
  <c r="K9" i="2"/>
  <c r="K10" i="2"/>
  <c r="K11" i="2"/>
  <c r="C10" i="6"/>
  <c r="C9" i="6"/>
  <c r="C8" i="6"/>
  <c r="D8" i="1"/>
  <c r="K3" i="2"/>
  <c r="K2" i="2"/>
  <c r="D7" i="1"/>
  <c r="B6" i="5"/>
  <c r="B5" i="5"/>
  <c r="D2" i="1"/>
  <c r="D28" i="1"/>
  <c r="D29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4" i="1"/>
  <c r="D3" i="1"/>
</calcChain>
</file>

<file path=xl/sharedStrings.xml><?xml version="1.0" encoding="utf-8"?>
<sst xmlns="http://schemas.openxmlformats.org/spreadsheetml/2006/main" count="274" uniqueCount="126">
  <si>
    <t>ID</t>
  </si>
  <si>
    <t>Name</t>
  </si>
  <si>
    <t>São Romão</t>
  </si>
  <si>
    <t>Tamel</t>
  </si>
  <si>
    <t>Senhora das Dores</t>
  </si>
  <si>
    <t>Lousado</t>
  </si>
  <si>
    <t>Porto Campanhã</t>
  </si>
  <si>
    <t>Leandro</t>
  </si>
  <si>
    <t>Porto São Bento</t>
  </si>
  <si>
    <t>Barcelos</t>
  </si>
  <si>
    <t>Vila Nova da Cerveira</t>
  </si>
  <si>
    <t>Midões</t>
  </si>
  <si>
    <t>Valença</t>
  </si>
  <si>
    <t>Darque</t>
  </si>
  <si>
    <t>Contumil</t>
  </si>
  <si>
    <t>Ermesinde</t>
  </si>
  <si>
    <t>São Frutuoso</t>
  </si>
  <si>
    <t>São Pedro da Torre</t>
  </si>
  <si>
    <t>Viana do Castelo</t>
  </si>
  <si>
    <t>Famalicão</t>
  </si>
  <si>
    <t>Barroselas</t>
  </si>
  <si>
    <t>Nine</t>
  </si>
  <si>
    <t>Caminha</t>
  </si>
  <si>
    <t>Carvalha</t>
  </si>
  <si>
    <t>Carreço</t>
  </si>
  <si>
    <t>Owner</t>
  </si>
  <si>
    <t>Start</t>
  </si>
  <si>
    <t>End</t>
  </si>
  <si>
    <t>Gauge</t>
  </si>
  <si>
    <t>IP</t>
  </si>
  <si>
    <t>Start ID</t>
  </si>
  <si>
    <t>End ID</t>
  </si>
  <si>
    <t>Ramal São Bento - Campanhã</t>
  </si>
  <si>
    <t>Line</t>
  </si>
  <si>
    <t>Order</t>
  </si>
  <si>
    <t>Electrified</t>
  </si>
  <si>
    <t>Length</t>
  </si>
  <si>
    <t>Yes</t>
  </si>
  <si>
    <t>Max Weight (kg/m)</t>
  </si>
  <si>
    <t>Length (m)</t>
  </si>
  <si>
    <t>Ramal Camapanhã - Nine</t>
  </si>
  <si>
    <t>Ramal Nine - Barcelos</t>
  </si>
  <si>
    <t>Ramal Barcelos - Viana</t>
  </si>
  <si>
    <t>Ramal viana - Caminha</t>
  </si>
  <si>
    <t>Ramal Caminha - Torre</t>
  </si>
  <si>
    <t>Ramal Torre - Valença</t>
  </si>
  <si>
    <t>Short name</t>
  </si>
  <si>
    <t>VATNumber</t>
  </si>
  <si>
    <t>PT503933813</t>
  </si>
  <si>
    <t>Infraestruturas de Portugal, SA</t>
  </si>
  <si>
    <t>NumberTracks</t>
  </si>
  <si>
    <t>Medway</t>
  </si>
  <si>
    <t>Medway - Operador Ferroviário de Mercadorias, S.A</t>
  </si>
  <si>
    <t>PT509017800</t>
  </si>
  <si>
    <t>Make</t>
  </si>
  <si>
    <t>Model</t>
  </si>
  <si>
    <t>Service</t>
  </si>
  <si>
    <t>Power</t>
  </si>
  <si>
    <t>Width</t>
  </si>
  <si>
    <t>Height</t>
  </si>
  <si>
    <t>Max Speed</t>
  </si>
  <si>
    <t>Type</t>
  </si>
  <si>
    <t>Electric</t>
  </si>
  <si>
    <t>Operator</t>
  </si>
  <si>
    <t>Bitola</t>
  </si>
  <si>
    <t>Eurosprinter</t>
  </si>
  <si>
    <t>Siemens</t>
  </si>
  <si>
    <t>Frequency</t>
  </si>
  <si>
    <t>Operational Speed</t>
  </si>
  <si>
    <t>Number</t>
  </si>
  <si>
    <t>Inês</t>
  </si>
  <si>
    <t>Paz</t>
  </si>
  <si>
    <t>Helena</t>
  </si>
  <si>
    <t>Diesel</t>
  </si>
  <si>
    <t>Eva</t>
  </si>
  <si>
    <t>Traction (KN)</t>
  </si>
  <si>
    <t>Weight (t)</t>
  </si>
  <si>
    <t>Combustível (l)</t>
  </si>
  <si>
    <t>Number Bogies</t>
  </si>
  <si>
    <t>Bogies</t>
  </si>
  <si>
    <t>Co-Co</t>
  </si>
  <si>
    <t>Bo-Bo</t>
  </si>
  <si>
    <t>CP 1900</t>
  </si>
  <si>
    <t>Metalsines</t>
  </si>
  <si>
    <t>Maker</t>
  </si>
  <si>
    <t>Duplo</t>
  </si>
  <si>
    <t>Tadgs 32 94 082 3</t>
  </si>
  <si>
    <t>Payload (t)</t>
  </si>
  <si>
    <t>Volume (m3)</t>
  </si>
  <si>
    <t>Cereal wagon</t>
  </si>
  <si>
    <t>Equimetal</t>
  </si>
  <si>
    <t>Tdgs 41 94 074 1</t>
  </si>
  <si>
    <t>Gabs 81 94 181 1</t>
  </si>
  <si>
    <t>Sepsa Cometna</t>
  </si>
  <si>
    <t>Covered wagon with sliding door</t>
  </si>
  <si>
    <t>Regmms 32 94 356 3</t>
  </si>
  <si>
    <t>Container wagon (max 40'' HC)</t>
  </si>
  <si>
    <t>Service Year</t>
  </si>
  <si>
    <t>Lgs 22 94 441 6</t>
  </si>
  <si>
    <t>Simples</t>
  </si>
  <si>
    <t>Emef</t>
  </si>
  <si>
    <t>Sgnss 12 94 455 2</t>
  </si>
  <si>
    <t>26.2</t>
  </si>
  <si>
    <t>50.2</t>
  </si>
  <si>
    <t>60.6</t>
  </si>
  <si>
    <t>28.1</t>
  </si>
  <si>
    <t>68.4</t>
  </si>
  <si>
    <t>76.3</t>
  </si>
  <si>
    <t>13.8</t>
  </si>
  <si>
    <t>29.8</t>
  </si>
  <si>
    <t>21.2</t>
  </si>
  <si>
    <t>11.9</t>
  </si>
  <si>
    <t>21.6</t>
  </si>
  <si>
    <t>4165.5</t>
  </si>
  <si>
    <t>Voltage (KV)</t>
  </si>
  <si>
    <t>19.2</t>
  </si>
  <si>
    <t>19.3</t>
  </si>
  <si>
    <t>19.4</t>
  </si>
  <si>
    <t>19.084</t>
  </si>
  <si>
    <t>3.062</t>
  </si>
  <si>
    <t>4.375</t>
  </si>
  <si>
    <t>4.376</t>
  </si>
  <si>
    <t>4.377</t>
  </si>
  <si>
    <t>4.31</t>
  </si>
  <si>
    <t>42.5</t>
  </si>
  <si>
    <t>Sorefame - Alsthom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</si>
</sst>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3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9BB5-1866-604F-9CDF-A9F9C66D7CCC}">
  <dimension ref="A1:D30"/>
  <sheetViews>
    <sheetView zoomScale="81" workbookViewId="0">
      <selection activeCell="F31" sqref="F31"/>
    </sheetView>
  </sheetViews>
  <sheetFormatPr defaultColWidth="10.6640625" defaultRowHeight="16" x14ac:dyDescent="0.4"/>
  <cols>
    <col min="2" max="2" width="18.5" bestFit="1" customWidth="1"/>
  </cols>
  <sheetData>
    <row r="1" spans="1:4" x14ac:dyDescent="0.4">
      <c r="A1" t="s">
        <v>0</v>
      </c>
      <c r="B1" t="s">
        <v>1</v>
      </c>
    </row>
    <row r="2" spans="1:4" x14ac:dyDescent="0.4">
      <c r="A2">
        <v>1</v>
      </c>
      <c r="B2" t="s">
        <v>2</v>
      </c>
      <c r="D2" t="str">
        <f>"INSERT INTO StationType (id, description) VALUES (1, 'Freight yards');"</f>
        <v>INSERT INTO StationType (id, description) VALUES (1, 'Freight yards');</v>
      </c>
    </row>
    <row r="3" spans="1:4" x14ac:dyDescent="0.4">
      <c r="A3">
        <v>2</v>
      </c>
      <c r="B3" t="s">
        <v>3</v>
      </c>
      <c r="D3" t="str">
        <f>"INSERT INTO StationType (id, description) VALUES (2, 'Stations');"</f>
        <v>INSERT INTO StationType (id, description) VALUES (2, 'Stations');</v>
      </c>
    </row>
    <row r="4" spans="1:4" x14ac:dyDescent="0.4">
      <c r="A4">
        <v>3</v>
      </c>
      <c r="B4" t="s">
        <v>4</v>
      </c>
      <c r="D4" t="str">
        <f>"INSERT INTO StationType (id, description) VALUES (3, 'Terminals');"</f>
        <v>INSERT INTO StationType (id, description) VALUES (3, 'Terminals');</v>
      </c>
    </row>
    <row r="5" spans="1:4" x14ac:dyDescent="0.4">
      <c r="A5">
        <v>4</v>
      </c>
      <c r="B5" t="s">
        <v>5</v>
      </c>
    </row>
    <row r="6" spans="1:4" x14ac:dyDescent="0.4">
      <c r="A6">
        <v>5</v>
      </c>
      <c r="B6" t="s">
        <v>6</v>
      </c>
    </row>
    <row r="7" spans="1:4" x14ac:dyDescent="0.4">
      <c r="A7">
        <v>6</v>
      </c>
      <c r="B7" t="s">
        <v>7</v>
      </c>
      <c r="D7" t="str">
        <f>"INSERT INTO Station (idStation, nameStation, stationTypeId) VALUES ("&amp;A2&amp;", '"&amp;B2&amp;"',1);"</f>
        <v>INSERT INTO Station (idStation, nameStation, stationTypeId) VALUES (1, 'São Romão',1);</v>
      </c>
    </row>
    <row r="8" spans="1:4" x14ac:dyDescent="0.4">
      <c r="A8">
        <v>7</v>
      </c>
      <c r="B8" t="s">
        <v>8</v>
      </c>
      <c r="D8" t="str">
        <f>"INSERT INTO Station (idStation, nameStation, stationTypeId) VALUES ("&amp;A3&amp;", '"&amp;B3&amp;"',1);"</f>
        <v>INSERT INTO Station (idStation, nameStation, stationTypeId) VALUES (2, 'Tamel',1);</v>
      </c>
    </row>
    <row r="9" spans="1:4" x14ac:dyDescent="0.4">
      <c r="A9">
        <v>8</v>
      </c>
      <c r="B9" t="s">
        <v>9</v>
      </c>
      <c r="D9" t="str">
        <f t="shared" ref="D8:D29" si="0">"INSERT INTO Station (idStation, nameStation, stationTypeId) VALUES ("&amp;A4&amp;", '"&amp;B4&amp;"',1);"</f>
        <v>INSERT INTO Station (idStation, nameStation, stationTypeId) VALUES (3, 'Senhora das Dores',1);</v>
      </c>
    </row>
    <row r="10" spans="1:4" x14ac:dyDescent="0.4">
      <c r="A10">
        <v>9</v>
      </c>
      <c r="B10" t="s">
        <v>10</v>
      </c>
      <c r="D10" t="str">
        <f t="shared" si="0"/>
        <v>INSERT INTO Station (idStation, nameStation, stationTypeId) VALUES (4, 'Lousado',1);</v>
      </c>
    </row>
    <row r="11" spans="1:4" x14ac:dyDescent="0.4">
      <c r="A11">
        <v>10</v>
      </c>
      <c r="B11" t="s">
        <v>11</v>
      </c>
      <c r="D11" t="str">
        <f t="shared" si="0"/>
        <v>INSERT INTO Station (idStation, nameStation, stationTypeId) VALUES (5, 'Porto Campanhã',1);</v>
      </c>
    </row>
    <row r="12" spans="1:4" x14ac:dyDescent="0.4">
      <c r="A12">
        <v>11</v>
      </c>
      <c r="B12" t="s">
        <v>12</v>
      </c>
      <c r="D12" t="str">
        <f t="shared" si="0"/>
        <v>INSERT INTO Station (idStation, nameStation, stationTypeId) VALUES (6, 'Leandro',1);</v>
      </c>
    </row>
    <row r="13" spans="1:4" x14ac:dyDescent="0.4">
      <c r="A13">
        <v>12</v>
      </c>
      <c r="B13" t="s">
        <v>13</v>
      </c>
      <c r="D13" t="str">
        <f t="shared" si="0"/>
        <v>INSERT INTO Station (idStation, nameStation, stationTypeId) VALUES (7, 'Porto São Bento',1);</v>
      </c>
    </row>
    <row r="14" spans="1:4" x14ac:dyDescent="0.4">
      <c r="A14">
        <v>13</v>
      </c>
      <c r="B14" t="s">
        <v>14</v>
      </c>
      <c r="D14" t="str">
        <f t="shared" si="0"/>
        <v>INSERT INTO Station (idStation, nameStation, stationTypeId) VALUES (8, 'Barcelos',1);</v>
      </c>
    </row>
    <row r="15" spans="1:4" x14ac:dyDescent="0.4">
      <c r="A15">
        <v>14</v>
      </c>
      <c r="B15" t="s">
        <v>15</v>
      </c>
      <c r="D15" t="str">
        <f t="shared" si="0"/>
        <v>INSERT INTO Station (idStation, nameStation, stationTypeId) VALUES (9, 'Vila Nova da Cerveira',1);</v>
      </c>
    </row>
    <row r="16" spans="1:4" x14ac:dyDescent="0.4">
      <c r="A16">
        <v>15</v>
      </c>
      <c r="B16" t="s">
        <v>16</v>
      </c>
      <c r="D16" t="str">
        <f t="shared" si="0"/>
        <v>INSERT INTO Station (idStation, nameStation, stationTypeId) VALUES (10, 'Midões',1);</v>
      </c>
    </row>
    <row r="17" spans="1:4" x14ac:dyDescent="0.4">
      <c r="A17">
        <v>16</v>
      </c>
      <c r="B17" t="s">
        <v>17</v>
      </c>
      <c r="D17" t="str">
        <f t="shared" si="0"/>
        <v>INSERT INTO Station (idStation, nameStation, stationTypeId) VALUES (11, 'Valença',1);</v>
      </c>
    </row>
    <row r="18" spans="1:4" x14ac:dyDescent="0.4">
      <c r="A18">
        <v>17</v>
      </c>
      <c r="B18" t="s">
        <v>18</v>
      </c>
      <c r="D18" t="str">
        <f t="shared" si="0"/>
        <v>INSERT INTO Station (idStation, nameStation, stationTypeId) VALUES (12, 'Darque',1);</v>
      </c>
    </row>
    <row r="19" spans="1:4" x14ac:dyDescent="0.4">
      <c r="A19">
        <v>18</v>
      </c>
      <c r="B19" t="s">
        <v>19</v>
      </c>
      <c r="D19" t="str">
        <f t="shared" si="0"/>
        <v>INSERT INTO Station (idStation, nameStation, stationTypeId) VALUES (13, 'Contumil',1);</v>
      </c>
    </row>
    <row r="20" spans="1:4" x14ac:dyDescent="0.4">
      <c r="A20">
        <v>19</v>
      </c>
      <c r="B20" t="s">
        <v>20</v>
      </c>
      <c r="D20" t="str">
        <f t="shared" si="0"/>
        <v>INSERT INTO Station (idStation, nameStation, stationTypeId) VALUES (14, 'Ermesinde',1);</v>
      </c>
    </row>
    <row r="21" spans="1:4" x14ac:dyDescent="0.4">
      <c r="A21">
        <v>20</v>
      </c>
      <c r="B21" t="s">
        <v>21</v>
      </c>
      <c r="D21" t="str">
        <f t="shared" si="0"/>
        <v>INSERT INTO Station (idStation, nameStation, stationTypeId) VALUES (15, 'São Frutuoso',1);</v>
      </c>
    </row>
    <row r="22" spans="1:4" x14ac:dyDescent="0.4">
      <c r="A22">
        <v>21</v>
      </c>
      <c r="B22" t="s">
        <v>22</v>
      </c>
      <c r="D22" t="str">
        <f t="shared" si="0"/>
        <v>INSERT INTO Station (idStation, nameStation, stationTypeId) VALUES (16, 'São Pedro da Torre',1);</v>
      </c>
    </row>
    <row r="23" spans="1:4" x14ac:dyDescent="0.4">
      <c r="A23">
        <v>22</v>
      </c>
      <c r="B23" t="s">
        <v>23</v>
      </c>
      <c r="D23" t="str">
        <f t="shared" si="0"/>
        <v>INSERT INTO Station (idStation, nameStation, stationTypeId) VALUES (17, 'Viana do Castelo',1);</v>
      </c>
    </row>
    <row r="24" spans="1:4" x14ac:dyDescent="0.4">
      <c r="A24">
        <v>23</v>
      </c>
      <c r="B24" t="s">
        <v>24</v>
      </c>
      <c r="D24" t="str">
        <f t="shared" si="0"/>
        <v>INSERT INTO Station (idStation, nameStation, stationTypeId) VALUES (18, 'Famalicão',1);</v>
      </c>
    </row>
    <row r="25" spans="1:4" x14ac:dyDescent="0.4">
      <c r="D25" t="str">
        <f t="shared" si="0"/>
        <v>INSERT INTO Station (idStation, nameStation, stationTypeId) VALUES (19, 'Barroselas',1);</v>
      </c>
    </row>
    <row r="26" spans="1:4" x14ac:dyDescent="0.4">
      <c r="D26" t="str">
        <f t="shared" si="0"/>
        <v>INSERT INTO Station (idStation, nameStation, stationTypeId) VALUES (20, 'Nine',1);</v>
      </c>
    </row>
    <row r="27" spans="1:4" x14ac:dyDescent="0.4">
      <c r="D27" t="str">
        <f t="shared" si="0"/>
        <v>INSERT INTO Station (idStation, nameStation, stationTypeId) VALUES (21, 'Caminha',1);</v>
      </c>
    </row>
    <row r="28" spans="1:4" x14ac:dyDescent="0.4">
      <c r="D28" t="str">
        <f>"INSERT INTO Station (idStation, nameStation, stationTypeId) VALUES ("&amp;A23&amp;", '"&amp;B23&amp;"',1);"</f>
        <v>INSERT INTO Station (idStation, nameStation, stationTypeId) VALUES (22, 'Carvalha',1);</v>
      </c>
    </row>
    <row r="29" spans="1:4" x14ac:dyDescent="0.4">
      <c r="D29" t="str">
        <f t="shared" si="0"/>
        <v>INSERT INTO Station (idStation, nameStation, stationTypeId) VALUES (23, 'Carreço',1);</v>
      </c>
    </row>
    <row r="30" spans="1:4" x14ac:dyDescent="0.4">
      <c r="B3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4C65E-8CA7-234E-99D7-0088759A11AB}">
  <dimension ref="A1:K13"/>
  <sheetViews>
    <sheetView topLeftCell="C1" workbookViewId="0">
      <selection activeCell="I27" sqref="I27"/>
    </sheetView>
  </sheetViews>
  <sheetFormatPr defaultColWidth="10.6640625" defaultRowHeight="16" x14ac:dyDescent="0.4"/>
  <cols>
    <col min="2" max="2" width="25.33203125" bestFit="1" customWidth="1"/>
    <col min="4" max="4" width="7.33203125" bestFit="1" customWidth="1"/>
    <col min="5" max="5" width="19.6640625" customWidth="1"/>
    <col min="6" max="6" width="6.33203125" bestFit="1" customWidth="1"/>
    <col min="7" max="7" width="16.33203125" bestFit="1" customWidth="1"/>
  </cols>
  <sheetData>
    <row r="1" spans="1:11" x14ac:dyDescent="0.4">
      <c r="A1" t="s">
        <v>0</v>
      </c>
      <c r="B1" t="s">
        <v>1</v>
      </c>
      <c r="C1" t="s">
        <v>25</v>
      </c>
      <c r="D1" t="s">
        <v>30</v>
      </c>
      <c r="E1" t="s">
        <v>26</v>
      </c>
      <c r="F1" t="s">
        <v>31</v>
      </c>
      <c r="G1" t="s">
        <v>27</v>
      </c>
      <c r="H1" t="s">
        <v>28</v>
      </c>
    </row>
    <row r="2" spans="1:11" x14ac:dyDescent="0.4">
      <c r="A2">
        <v>1</v>
      </c>
      <c r="B2" t="s">
        <v>32</v>
      </c>
      <c r="C2" t="s">
        <v>29</v>
      </c>
      <c r="D2">
        <v>7</v>
      </c>
      <c r="E2" t="s">
        <v>8</v>
      </c>
      <c r="F2">
        <v>5</v>
      </c>
      <c r="G2" t="s">
        <v>6</v>
      </c>
      <c r="H2">
        <v>1668</v>
      </c>
      <c r="K2" t="str">
        <f>"INSERT INTO Gauge (idGauge, name, measure) VALUES (1,'Iberian gauge', '"&amp;H3&amp;"');"</f>
        <v>INSERT INTO Gauge (idGauge, name, measure) VALUES (1,'Iberian gauge', '1668');</v>
      </c>
    </row>
    <row r="3" spans="1:11" x14ac:dyDescent="0.4">
      <c r="A3">
        <v>2</v>
      </c>
      <c r="B3" t="s">
        <v>40</v>
      </c>
      <c r="C3" t="s">
        <v>29</v>
      </c>
      <c r="D3">
        <v>5</v>
      </c>
      <c r="E3" t="s">
        <v>6</v>
      </c>
      <c r="F3">
        <v>20</v>
      </c>
      <c r="G3" t="s">
        <v>21</v>
      </c>
      <c r="H3">
        <v>1668</v>
      </c>
      <c r="K3" t="str">
        <f>"INSERT INTO Gauge (idGauge, name, measure) VALUES (2,'Standard Gauge', '"&amp;'Wagon Model'!N8&amp;"');"</f>
        <v>INSERT INTO Gauge (idGauge, name, measure) VALUES (2,'Standard Gauge', '1435');</v>
      </c>
    </row>
    <row r="4" spans="1:11" x14ac:dyDescent="0.4">
      <c r="A4">
        <v>3</v>
      </c>
      <c r="B4" t="s">
        <v>41</v>
      </c>
      <c r="C4" t="s">
        <v>29</v>
      </c>
      <c r="D4">
        <v>20</v>
      </c>
      <c r="E4" t="s">
        <v>21</v>
      </c>
      <c r="F4">
        <v>8</v>
      </c>
      <c r="G4" t="s">
        <v>9</v>
      </c>
      <c r="H4">
        <v>1668</v>
      </c>
    </row>
    <row r="5" spans="1:11" x14ac:dyDescent="0.4">
      <c r="A5">
        <v>4</v>
      </c>
      <c r="B5" t="s">
        <v>42</v>
      </c>
      <c r="C5" t="s">
        <v>29</v>
      </c>
      <c r="D5">
        <v>8</v>
      </c>
      <c r="E5" t="s">
        <v>9</v>
      </c>
      <c r="F5">
        <v>17</v>
      </c>
      <c r="G5" t="s">
        <v>18</v>
      </c>
      <c r="H5">
        <v>1668</v>
      </c>
      <c r="K5" t="str">
        <f>"INSERT INTO Line (id, nameLine, ownerId, startStation, endStation, gaugeId) VALUES ("&amp;A2&amp;",'"&amp;B2&amp;"','PT503933813',"&amp;D2&amp;","&amp;F2&amp;",1);"</f>
        <v>INSERT INTO Line (id, nameLine, ownerId, startStation, endStation, gaugeId) VALUES (1,'Ramal São Bento - Campanhã','PT503933813',7,5,1);</v>
      </c>
    </row>
    <row r="6" spans="1:11" x14ac:dyDescent="0.4">
      <c r="A6">
        <v>5</v>
      </c>
      <c r="B6" t="s">
        <v>43</v>
      </c>
      <c r="C6" t="s">
        <v>29</v>
      </c>
      <c r="D6">
        <v>17</v>
      </c>
      <c r="E6" t="s">
        <v>18</v>
      </c>
      <c r="F6">
        <v>21</v>
      </c>
      <c r="G6" t="s">
        <v>22</v>
      </c>
      <c r="H6">
        <v>1668</v>
      </c>
      <c r="K6" t="str">
        <f t="shared" ref="K6:K11" si="0">"INSERT INTO Line (id, nameLine, ownerId, startStation, endStation, gaugeId) VALUES ("&amp;A3&amp;",'"&amp;B3&amp;"','PT503933813',"&amp;D3&amp;","&amp;F3&amp;",1);"</f>
        <v>INSERT INTO Line (id, nameLine, ownerId, startStation, endStation, gaugeId) VALUES (2,'Ramal Camapanhã - Nine','PT503933813',5,20,1);</v>
      </c>
    </row>
    <row r="7" spans="1:11" x14ac:dyDescent="0.4">
      <c r="A7">
        <v>6</v>
      </c>
      <c r="B7" t="s">
        <v>44</v>
      </c>
      <c r="C7" t="s">
        <v>29</v>
      </c>
      <c r="D7">
        <v>21</v>
      </c>
      <c r="E7" t="s">
        <v>22</v>
      </c>
      <c r="F7">
        <v>16</v>
      </c>
      <c r="G7" t="s">
        <v>17</v>
      </c>
      <c r="H7">
        <v>1668</v>
      </c>
      <c r="K7" t="str">
        <f t="shared" si="0"/>
        <v>INSERT INTO Line (id, nameLine, ownerId, startStation, endStation, gaugeId) VALUES (3,'Ramal Nine - Barcelos','PT503933813',20,8,1);</v>
      </c>
    </row>
    <row r="8" spans="1:11" x14ac:dyDescent="0.4">
      <c r="A8">
        <v>7</v>
      </c>
      <c r="B8" t="s">
        <v>45</v>
      </c>
      <c r="C8" t="s">
        <v>29</v>
      </c>
      <c r="D8">
        <v>16</v>
      </c>
      <c r="E8" t="s">
        <v>17</v>
      </c>
      <c r="F8">
        <v>11</v>
      </c>
      <c r="G8" t="s">
        <v>12</v>
      </c>
      <c r="H8">
        <v>1668</v>
      </c>
      <c r="K8" t="str">
        <f t="shared" si="0"/>
        <v>INSERT INTO Line (id, nameLine, ownerId, startStation, endStation, gaugeId) VALUES (4,'Ramal Barcelos - Viana','PT503933813',8,17,1);</v>
      </c>
    </row>
    <row r="9" spans="1:11" x14ac:dyDescent="0.4">
      <c r="K9" t="str">
        <f t="shared" si="0"/>
        <v>INSERT INTO Line (id, nameLine, ownerId, startStation, endStation, gaugeId) VALUES (5,'Ramal viana - Caminha','PT503933813',17,21,1);</v>
      </c>
    </row>
    <row r="10" spans="1:11" x14ac:dyDescent="0.4">
      <c r="H10" s="1"/>
      <c r="K10" t="str">
        <f t="shared" si="0"/>
        <v>INSERT INTO Line (id, nameLine, ownerId, startStation, endStation, gaugeId) VALUES (6,'Ramal Caminha - Torre','PT503933813',21,16,1);</v>
      </c>
    </row>
    <row r="11" spans="1:11" x14ac:dyDescent="0.4">
      <c r="K11" t="str">
        <f t="shared" si="0"/>
        <v>INSERT INTO Line (id, nameLine, ownerId, startStation, endStation, gaugeId) VALUES (7,'Ramal Torre - Valença','PT503933813',16,11,1);</v>
      </c>
    </row>
    <row r="13" spans="1:11" x14ac:dyDescent="0.4">
      <c r="E1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EBDD1-80D9-AA41-A42C-F1C292919B42}">
  <dimension ref="A1:J29"/>
  <sheetViews>
    <sheetView zoomScale="81" workbookViewId="0">
      <selection activeCell="J6" sqref="J6"/>
    </sheetView>
  </sheetViews>
  <sheetFormatPr defaultColWidth="10.6640625" defaultRowHeight="16" x14ac:dyDescent="0.4"/>
  <cols>
    <col min="5" max="5" width="16" bestFit="1" customWidth="1"/>
    <col min="7" max="7" width="12.83203125" bestFit="1" customWidth="1"/>
  </cols>
  <sheetData>
    <row r="1" spans="1:10" x14ac:dyDescent="0.4">
      <c r="A1" t="s">
        <v>0</v>
      </c>
      <c r="B1" t="s">
        <v>33</v>
      </c>
      <c r="C1" t="s">
        <v>34</v>
      </c>
      <c r="D1" t="s">
        <v>35</v>
      </c>
      <c r="E1" t="s">
        <v>38</v>
      </c>
      <c r="F1" t="s">
        <v>39</v>
      </c>
      <c r="G1" t="s">
        <v>50</v>
      </c>
    </row>
    <row r="2" spans="1:10" x14ac:dyDescent="0.4">
      <c r="A2">
        <v>1</v>
      </c>
      <c r="B2">
        <v>1</v>
      </c>
      <c r="C2">
        <v>1</v>
      </c>
      <c r="D2" t="s">
        <v>37</v>
      </c>
      <c r="E2">
        <v>8000</v>
      </c>
      <c r="F2">
        <v>2618</v>
      </c>
      <c r="G2">
        <v>4</v>
      </c>
    </row>
    <row r="3" spans="1:10" x14ac:dyDescent="0.4">
      <c r="A3">
        <v>10</v>
      </c>
      <c r="B3">
        <v>2</v>
      </c>
      <c r="C3">
        <v>1</v>
      </c>
      <c r="D3" t="s">
        <v>37</v>
      </c>
      <c r="E3">
        <v>8000</v>
      </c>
      <c r="F3">
        <v>29003</v>
      </c>
      <c r="G3">
        <v>2</v>
      </c>
    </row>
    <row r="4" spans="1:10" x14ac:dyDescent="0.4">
      <c r="A4">
        <v>11</v>
      </c>
      <c r="B4">
        <v>2</v>
      </c>
      <c r="C4">
        <v>2</v>
      </c>
      <c r="D4" t="s">
        <v>37</v>
      </c>
      <c r="E4">
        <v>8000</v>
      </c>
      <c r="F4">
        <v>10000</v>
      </c>
      <c r="G4">
        <v>2</v>
      </c>
    </row>
    <row r="5" spans="1:10" x14ac:dyDescent="0.4">
      <c r="A5">
        <v>15</v>
      </c>
      <c r="B5">
        <v>3</v>
      </c>
      <c r="C5">
        <v>1</v>
      </c>
      <c r="D5" t="s">
        <v>37</v>
      </c>
      <c r="E5">
        <v>8000</v>
      </c>
      <c r="F5">
        <v>5286</v>
      </c>
      <c r="G5">
        <v>2</v>
      </c>
    </row>
    <row r="6" spans="1:10" x14ac:dyDescent="0.4">
      <c r="A6">
        <v>16</v>
      </c>
      <c r="B6">
        <v>3</v>
      </c>
      <c r="C6">
        <v>2</v>
      </c>
      <c r="D6" t="s">
        <v>37</v>
      </c>
      <c r="E6">
        <v>8000</v>
      </c>
      <c r="F6">
        <v>6000</v>
      </c>
      <c r="G6">
        <v>2</v>
      </c>
      <c r="J6" t="str">
        <f>"INSERT INTO LineSegmentsType (id, description) VALUES (1,'single track');"</f>
        <v>INSERT INTO LineSegmentsType (id, description) VALUES (1,'single track');</v>
      </c>
    </row>
    <row r="7" spans="1:10" x14ac:dyDescent="0.4">
      <c r="A7">
        <v>14</v>
      </c>
      <c r="B7">
        <v>4</v>
      </c>
      <c r="C7">
        <v>1</v>
      </c>
      <c r="D7" t="s">
        <v>37</v>
      </c>
      <c r="E7">
        <v>8000</v>
      </c>
      <c r="F7">
        <v>10387</v>
      </c>
      <c r="G7">
        <v>2</v>
      </c>
      <c r="J7" t="str">
        <f>"INSERT INTO LineSegmentsType (id, description) VALUES (2,'double track');"</f>
        <v>INSERT INTO LineSegmentsType (id, description) VALUES (2,'double track');</v>
      </c>
    </row>
    <row r="8" spans="1:10" x14ac:dyDescent="0.4">
      <c r="A8">
        <v>12</v>
      </c>
      <c r="B8">
        <v>4</v>
      </c>
      <c r="C8">
        <v>2</v>
      </c>
      <c r="D8" t="s">
        <v>37</v>
      </c>
      <c r="E8">
        <v>8000</v>
      </c>
      <c r="F8">
        <v>12000</v>
      </c>
      <c r="G8">
        <v>2</v>
      </c>
    </row>
    <row r="9" spans="1:10" x14ac:dyDescent="0.4">
      <c r="A9">
        <v>13</v>
      </c>
      <c r="B9">
        <v>4</v>
      </c>
      <c r="C9">
        <v>3</v>
      </c>
      <c r="D9" t="s">
        <v>37</v>
      </c>
      <c r="E9">
        <v>6400</v>
      </c>
      <c r="F9">
        <v>8000</v>
      </c>
      <c r="G9">
        <v>2</v>
      </c>
    </row>
    <row r="10" spans="1:10" x14ac:dyDescent="0.4">
      <c r="A10">
        <v>20</v>
      </c>
      <c r="B10">
        <v>5</v>
      </c>
      <c r="C10">
        <v>1</v>
      </c>
      <c r="D10" t="s">
        <v>37</v>
      </c>
      <c r="E10">
        <v>8000</v>
      </c>
      <c r="F10">
        <v>6000</v>
      </c>
      <c r="G10">
        <v>2</v>
      </c>
      <c r="J10" s="2"/>
    </row>
    <row r="11" spans="1:10" x14ac:dyDescent="0.4">
      <c r="A11">
        <v>21</v>
      </c>
      <c r="B11">
        <v>5</v>
      </c>
      <c r="C11">
        <v>2</v>
      </c>
      <c r="D11" t="s">
        <v>37</v>
      </c>
      <c r="E11">
        <v>8000</v>
      </c>
      <c r="F11">
        <v>3000</v>
      </c>
      <c r="G11">
        <v>2</v>
      </c>
    </row>
    <row r="12" spans="1:10" x14ac:dyDescent="0.4">
      <c r="A12">
        <v>22</v>
      </c>
      <c r="B12">
        <v>5</v>
      </c>
      <c r="C12">
        <v>3</v>
      </c>
      <c r="D12" t="s">
        <v>37</v>
      </c>
      <c r="E12">
        <v>8000</v>
      </c>
      <c r="F12">
        <v>15000</v>
      </c>
      <c r="G12">
        <v>2</v>
      </c>
    </row>
    <row r="13" spans="1:10" x14ac:dyDescent="0.4">
      <c r="A13">
        <v>25</v>
      </c>
      <c r="B13">
        <v>6</v>
      </c>
      <c r="C13">
        <v>1</v>
      </c>
      <c r="D13" t="s">
        <v>37</v>
      </c>
      <c r="E13">
        <v>8000</v>
      </c>
      <c r="F13">
        <v>20829</v>
      </c>
      <c r="G13">
        <v>2</v>
      </c>
    </row>
    <row r="14" spans="1:10" x14ac:dyDescent="0.4">
      <c r="A14">
        <v>26</v>
      </c>
      <c r="B14">
        <v>7</v>
      </c>
      <c r="C14">
        <v>1</v>
      </c>
      <c r="D14" t="s">
        <v>37</v>
      </c>
      <c r="E14">
        <v>8000</v>
      </c>
      <c r="F14">
        <v>4264</v>
      </c>
      <c r="G14">
        <v>2</v>
      </c>
    </row>
    <row r="17" spans="2:2" x14ac:dyDescent="0.4">
      <c r="B17" t="str">
        <f>"INSERT INTO LineSegment (id, maximumWeigh, lenght, isElectrified, segmantesOrder,lineSegmentsTypeid, lineId) VALUES ("&amp;A2&amp;","&amp;E2&amp;","&amp;F2&amp;",1,"&amp;C2&amp;",2,"&amp;B2&amp;");"</f>
        <v>INSERT INTO LineSegment (id, maximumWeigh, lenght, isElectrified, segmantesOrder,lineSegmentsTypeid, lineId) VALUES (1,8000,2618,1,1,2,1);</v>
      </c>
    </row>
    <row r="18" spans="2:2" x14ac:dyDescent="0.4">
      <c r="B18" t="str">
        <f t="shared" ref="B18:B29" si="0">"INSERT INTO LineSegment (id, maximumWeigh, lenght, isElectrified, segmantesOrder,lineSegmentsTypeid, lineId) VALUES ("&amp;A3&amp;","&amp;E3&amp;","&amp;F3&amp;",1,"&amp;C3&amp;",2,"&amp;B3&amp;");"</f>
        <v>INSERT INTO LineSegment (id, maximumWeigh, lenght, isElectrified, segmantesOrder,lineSegmentsTypeid, lineId) VALUES (10,8000,29003,1,1,2,2);</v>
      </c>
    </row>
    <row r="19" spans="2:2" x14ac:dyDescent="0.4">
      <c r="B19" t="str">
        <f t="shared" si="0"/>
        <v>INSERT INTO LineSegment (id, maximumWeigh, lenght, isElectrified, segmantesOrder,lineSegmentsTypeid, lineId) VALUES (11,8000,10000,1,2,2,2);</v>
      </c>
    </row>
    <row r="20" spans="2:2" x14ac:dyDescent="0.4">
      <c r="B20" t="str">
        <f t="shared" si="0"/>
        <v>INSERT INTO LineSegment (id, maximumWeigh, lenght, isElectrified, segmantesOrder,lineSegmentsTypeid, lineId) VALUES (15,8000,5286,1,1,2,3);</v>
      </c>
    </row>
    <row r="21" spans="2:2" x14ac:dyDescent="0.4">
      <c r="B21" t="str">
        <f t="shared" si="0"/>
        <v>INSERT INTO LineSegment (id, maximumWeigh, lenght, isElectrified, segmantesOrder,lineSegmentsTypeid, lineId) VALUES (16,8000,6000,1,2,2,3);</v>
      </c>
    </row>
    <row r="22" spans="2:2" x14ac:dyDescent="0.4">
      <c r="B22" t="str">
        <f t="shared" si="0"/>
        <v>INSERT INTO LineSegment (id, maximumWeigh, lenght, isElectrified, segmantesOrder,lineSegmentsTypeid, lineId) VALUES (14,8000,10387,1,1,2,4);</v>
      </c>
    </row>
    <row r="23" spans="2:2" x14ac:dyDescent="0.4">
      <c r="B23" t="str">
        <f t="shared" si="0"/>
        <v>INSERT INTO LineSegment (id, maximumWeigh, lenght, isElectrified, segmantesOrder,lineSegmentsTypeid, lineId) VALUES (12,8000,12000,1,2,2,4);</v>
      </c>
    </row>
    <row r="24" spans="2:2" x14ac:dyDescent="0.4">
      <c r="B24" t="str">
        <f t="shared" si="0"/>
        <v>INSERT INTO LineSegment (id, maximumWeigh, lenght, isElectrified, segmantesOrder,lineSegmentsTypeid, lineId) VALUES (13,6400,8000,1,3,2,4);</v>
      </c>
    </row>
    <row r="25" spans="2:2" x14ac:dyDescent="0.4">
      <c r="B25" t="str">
        <f t="shared" si="0"/>
        <v>INSERT INTO LineSegment (id, maximumWeigh, lenght, isElectrified, segmantesOrder,lineSegmentsTypeid, lineId) VALUES (20,8000,6000,1,1,2,5);</v>
      </c>
    </row>
    <row r="26" spans="2:2" x14ac:dyDescent="0.4">
      <c r="B26" t="str">
        <f t="shared" si="0"/>
        <v>INSERT INTO LineSegment (id, maximumWeigh, lenght, isElectrified, segmantesOrder,lineSegmentsTypeid, lineId) VALUES (21,8000,3000,1,2,2,5);</v>
      </c>
    </row>
    <row r="27" spans="2:2" x14ac:dyDescent="0.4">
      <c r="B27" t="str">
        <f t="shared" si="0"/>
        <v>INSERT INTO LineSegment (id, maximumWeigh, lenght, isElectrified, segmantesOrder,lineSegmentsTypeid, lineId) VALUES (22,8000,15000,1,3,2,5);</v>
      </c>
    </row>
    <row r="28" spans="2:2" x14ac:dyDescent="0.4">
      <c r="B28" t="str">
        <f t="shared" si="0"/>
        <v>INSERT INTO LineSegment (id, maximumWeigh, lenght, isElectrified, segmantesOrder,lineSegmentsTypeid, lineId) VALUES (25,8000,20829,1,1,2,6);</v>
      </c>
    </row>
    <row r="29" spans="2:2" x14ac:dyDescent="0.4">
      <c r="B29" t="str">
        <f t="shared" si="0"/>
        <v>INSERT INTO LineSegment (id, maximumWeigh, lenght, isElectrified, segmantesOrder,lineSegmentsTypeid, lineId) VALUES (26,8000,4264,1,1,2,7);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5997D-9251-2E44-A1F9-9F4576B88A53}">
  <dimension ref="A1:F4"/>
  <sheetViews>
    <sheetView workbookViewId="0">
      <selection activeCell="C2" sqref="C2"/>
    </sheetView>
  </sheetViews>
  <sheetFormatPr defaultColWidth="10.6640625" defaultRowHeight="16" x14ac:dyDescent="0.4"/>
  <cols>
    <col min="1" max="1" width="25.6640625" bestFit="1" customWidth="1"/>
    <col min="3" max="3" width="12" bestFit="1" customWidth="1"/>
  </cols>
  <sheetData>
    <row r="1" spans="1:6" x14ac:dyDescent="0.4">
      <c r="A1" t="s">
        <v>1</v>
      </c>
      <c r="B1" t="s">
        <v>46</v>
      </c>
      <c r="C1" t="s">
        <v>47</v>
      </c>
    </row>
    <row r="2" spans="1:6" x14ac:dyDescent="0.4">
      <c r="A2" t="s">
        <v>49</v>
      </c>
      <c r="B2" t="s">
        <v>29</v>
      </c>
      <c r="C2" t="s">
        <v>48</v>
      </c>
    </row>
    <row r="4" spans="1:6" x14ac:dyDescent="0.4">
      <c r="F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7CE99-FE9D-7D40-9779-4D391839C2CA}">
  <dimension ref="A1:E6"/>
  <sheetViews>
    <sheetView workbookViewId="0">
      <selection activeCell="C3" sqref="C3"/>
    </sheetView>
  </sheetViews>
  <sheetFormatPr defaultColWidth="10.6640625" defaultRowHeight="16" x14ac:dyDescent="0.4"/>
  <cols>
    <col min="1" max="1" width="42.6640625" bestFit="1" customWidth="1"/>
    <col min="3" max="3" width="12" bestFit="1" customWidth="1"/>
  </cols>
  <sheetData>
    <row r="1" spans="1:5" x14ac:dyDescent="0.4">
      <c r="A1" t="s">
        <v>1</v>
      </c>
      <c r="B1" t="s">
        <v>46</v>
      </c>
      <c r="C1" t="s">
        <v>47</v>
      </c>
    </row>
    <row r="2" spans="1:5" x14ac:dyDescent="0.4">
      <c r="A2" t="s">
        <v>52</v>
      </c>
      <c r="B2" t="s">
        <v>51</v>
      </c>
      <c r="C2" t="s">
        <v>53</v>
      </c>
      <c r="E2" s="2"/>
    </row>
    <row r="5" spans="1:5" x14ac:dyDescent="0.4">
      <c r="B5" t="str">
        <f>"INSERT INTO Operator (vatNumber, name, shortName) VALUES ('"&amp;C2&amp;"', '"&amp;A2&amp;"','"&amp;B2&amp;"');"</f>
        <v>INSERT INTO Operator (vatNumber, name, shortName) VALUES ('PT509017800', 'Medway - Operador Ferroviário de Mercadorias, S.A','Medway');</v>
      </c>
    </row>
    <row r="6" spans="1:5" x14ac:dyDescent="0.4">
      <c r="B6" t="str">
        <f>"INSERT INTO Operator (vatNumber, name, shortName) VALUES ('"&amp;Owner!C2&amp;"', '"&amp;Owner!A2&amp;"','"&amp;Owner!B2&amp;"');"</f>
        <v>INSERT INTO Operator (vatNumber, name, shortName) VALUES ('PT503933813', 'Infraestruturas de Portugal, SA','IP');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06DC6-1562-C44A-8B3E-3FFA2FDD4829}">
  <dimension ref="A1:U27"/>
  <sheetViews>
    <sheetView tabSelected="1" topLeftCell="A11" workbookViewId="0">
      <selection activeCell="D30" sqref="D30"/>
    </sheetView>
  </sheetViews>
  <sheetFormatPr defaultColWidth="10.6640625" defaultRowHeight="16" x14ac:dyDescent="0.4"/>
  <cols>
    <col min="14" max="14" width="16.33203125" bestFit="1" customWidth="1"/>
    <col min="15" max="15" width="11.83203125" bestFit="1" customWidth="1"/>
  </cols>
  <sheetData>
    <row r="1" spans="1:21" x14ac:dyDescent="0.4">
      <c r="A1" t="s">
        <v>69</v>
      </c>
      <c r="B1" t="s">
        <v>1</v>
      </c>
      <c r="C1" t="s">
        <v>54</v>
      </c>
      <c r="D1" t="s">
        <v>55</v>
      </c>
      <c r="E1" t="s">
        <v>56</v>
      </c>
      <c r="F1" t="s">
        <v>78</v>
      </c>
      <c r="G1" t="s">
        <v>79</v>
      </c>
      <c r="H1" t="s">
        <v>57</v>
      </c>
      <c r="I1" t="s">
        <v>36</v>
      </c>
      <c r="J1" t="s">
        <v>58</v>
      </c>
      <c r="K1" t="s">
        <v>59</v>
      </c>
      <c r="L1" t="s">
        <v>76</v>
      </c>
      <c r="M1" t="s">
        <v>60</v>
      </c>
      <c r="N1" t="s">
        <v>68</v>
      </c>
      <c r="O1" t="s">
        <v>75</v>
      </c>
      <c r="P1" t="s">
        <v>61</v>
      </c>
      <c r="Q1" t="s">
        <v>114</v>
      </c>
      <c r="R1" t="s">
        <v>67</v>
      </c>
      <c r="S1" t="s">
        <v>63</v>
      </c>
      <c r="T1" t="s">
        <v>64</v>
      </c>
      <c r="U1" t="s">
        <v>77</v>
      </c>
    </row>
    <row r="2" spans="1:21" x14ac:dyDescent="0.4">
      <c r="A2">
        <v>5621</v>
      </c>
      <c r="B2" t="s">
        <v>70</v>
      </c>
      <c r="C2" t="s">
        <v>66</v>
      </c>
      <c r="D2" t="s">
        <v>65</v>
      </c>
      <c r="E2">
        <v>1995</v>
      </c>
      <c r="F2">
        <v>2</v>
      </c>
      <c r="G2" t="s">
        <v>81</v>
      </c>
      <c r="H2">
        <v>5600</v>
      </c>
      <c r="I2" t="s">
        <v>115</v>
      </c>
      <c r="J2">
        <v>3</v>
      </c>
      <c r="K2" t="s">
        <v>120</v>
      </c>
      <c r="L2">
        <v>87</v>
      </c>
      <c r="M2">
        <v>220</v>
      </c>
      <c r="N2">
        <v>70</v>
      </c>
      <c r="O2">
        <v>300</v>
      </c>
      <c r="P2" t="s">
        <v>62</v>
      </c>
      <c r="Q2">
        <v>25</v>
      </c>
      <c r="R2">
        <v>50</v>
      </c>
      <c r="S2" t="s">
        <v>51</v>
      </c>
      <c r="T2">
        <v>1668</v>
      </c>
    </row>
    <row r="3" spans="1:21" x14ac:dyDescent="0.4">
      <c r="A3">
        <v>5623</v>
      </c>
      <c r="B3" t="s">
        <v>71</v>
      </c>
      <c r="C3" t="s">
        <v>66</v>
      </c>
      <c r="D3" t="s">
        <v>65</v>
      </c>
      <c r="E3">
        <v>1995</v>
      </c>
      <c r="F3">
        <v>2</v>
      </c>
      <c r="G3" t="s">
        <v>81</v>
      </c>
      <c r="H3">
        <v>5600</v>
      </c>
      <c r="I3" t="s">
        <v>116</v>
      </c>
      <c r="J3">
        <v>3</v>
      </c>
      <c r="K3" t="s">
        <v>121</v>
      </c>
      <c r="L3">
        <v>87</v>
      </c>
      <c r="M3">
        <v>220</v>
      </c>
      <c r="N3">
        <v>70</v>
      </c>
      <c r="O3">
        <v>300</v>
      </c>
      <c r="P3" t="s">
        <v>62</v>
      </c>
      <c r="Q3">
        <v>25</v>
      </c>
      <c r="R3">
        <v>50</v>
      </c>
      <c r="S3" t="s">
        <v>51</v>
      </c>
      <c r="T3">
        <v>1668</v>
      </c>
    </row>
    <row r="4" spans="1:21" x14ac:dyDescent="0.4">
      <c r="A4">
        <v>5630</v>
      </c>
      <c r="B4" t="s">
        <v>72</v>
      </c>
      <c r="C4" t="s">
        <v>66</v>
      </c>
      <c r="D4" t="s">
        <v>65</v>
      </c>
      <c r="E4">
        <v>1996</v>
      </c>
      <c r="F4">
        <v>2</v>
      </c>
      <c r="G4" t="s">
        <v>81</v>
      </c>
      <c r="H4">
        <v>5600</v>
      </c>
      <c r="I4" t="s">
        <v>117</v>
      </c>
      <c r="J4">
        <v>3</v>
      </c>
      <c r="K4" t="s">
        <v>122</v>
      </c>
      <c r="L4">
        <v>87</v>
      </c>
      <c r="M4">
        <v>220</v>
      </c>
      <c r="N4">
        <v>70</v>
      </c>
      <c r="O4">
        <v>300</v>
      </c>
      <c r="P4" t="s">
        <v>62</v>
      </c>
      <c r="Q4">
        <v>25</v>
      </c>
      <c r="R4">
        <v>50</v>
      </c>
      <c r="S4" t="s">
        <v>51</v>
      </c>
      <c r="T4">
        <v>1668</v>
      </c>
    </row>
    <row r="5" spans="1:21" x14ac:dyDescent="0.4">
      <c r="A5">
        <v>1903</v>
      </c>
      <c r="B5" t="s">
        <v>74</v>
      </c>
      <c r="C5" t="s">
        <v>125</v>
      </c>
      <c r="D5" t="s">
        <v>82</v>
      </c>
      <c r="E5">
        <v>1981</v>
      </c>
      <c r="F5">
        <v>2</v>
      </c>
      <c r="G5" t="s">
        <v>80</v>
      </c>
      <c r="H5">
        <v>1623</v>
      </c>
      <c r="I5" t="s">
        <v>118</v>
      </c>
      <c r="J5" t="s">
        <v>119</v>
      </c>
      <c r="K5" t="s">
        <v>123</v>
      </c>
      <c r="L5">
        <v>117</v>
      </c>
      <c r="M5">
        <v>100</v>
      </c>
      <c r="N5" t="s">
        <v>124</v>
      </c>
      <c r="O5">
        <v>396</v>
      </c>
      <c r="P5" t="s">
        <v>73</v>
      </c>
      <c r="S5" t="s">
        <v>51</v>
      </c>
      <c r="T5">
        <v>1668</v>
      </c>
      <c r="U5">
        <v>4882</v>
      </c>
    </row>
    <row r="7" spans="1:21" x14ac:dyDescent="0.4">
      <c r="P7" s="3"/>
      <c r="Q7" s="3"/>
      <c r="R7" s="3"/>
      <c r="U7" s="3"/>
    </row>
    <row r="8" spans="1:21" x14ac:dyDescent="0.4">
      <c r="C8" t="str">
        <f>"INSERT INTO Bogies (id, nameBogie) VALUES (1, '"&amp;G4&amp;"');"</f>
        <v>INSERT INTO Bogies (id, nameBogie) VALUES (1, 'Bo-Bo');</v>
      </c>
      <c r="M8" s="4"/>
      <c r="N8" s="4"/>
    </row>
    <row r="9" spans="1:21" x14ac:dyDescent="0.4">
      <c r="C9" t="str">
        <f>"INSERT INTO Bogies (id, nameBogie) VALUES (2, '"&amp;G5&amp;"');"</f>
        <v>INSERT INTO Bogies (id, nameBogie) VALUES (2, 'Co-Co');</v>
      </c>
    </row>
    <row r="10" spans="1:21" x14ac:dyDescent="0.4">
      <c r="C10" t="str">
        <f>"INSERT INTO Bogies (id, nameBogie) VALUES (3, '"&amp;'Wagon Model'!E6&amp;"');"</f>
        <v>INSERT INTO Bogies (id, nameBogie) VALUES (3, 'Simples');</v>
      </c>
    </row>
    <row r="11" spans="1:21" x14ac:dyDescent="0.4">
      <c r="C11" t="str">
        <f>"INSERT INTO Bogies (id, nameBogie) VALUES (4, '"&amp;'Wagon Model'!E7&amp;"');"</f>
        <v>INSERT INTO Bogies (id, nameBogie) VALUES (4, 'Duplo');</v>
      </c>
    </row>
    <row r="13" spans="1:21" x14ac:dyDescent="0.4">
      <c r="C13" t="str">
        <f>"INSERT INTO LocomotiveFuelType (id, description) VALUES (1, '"&amp;P4&amp;"');"</f>
        <v>INSERT INTO LocomotiveFuelType (id, description) VALUES (1, 'Electric');</v>
      </c>
    </row>
    <row r="14" spans="1:21" x14ac:dyDescent="0.4">
      <c r="C14" t="str">
        <f>"INSERT INTO LocomotiveFuelType (id, description) VALUES (2, '"&amp;P5&amp;"');"</f>
        <v>INSERT INTO LocomotiveFuelType (id, description) VALUES (2, 'Diesel');</v>
      </c>
    </row>
    <row r="16" spans="1:21" x14ac:dyDescent="0.4">
      <c r="C16" t="str">
        <f>"INSERT INTO Electric (id, voltage, frequency, locomotiveFuelType) VALUES (1, "&amp;Q2&amp;","&amp;R2&amp;",1);"</f>
        <v>INSERT INTO Electric (id, voltage, frequency, locomotiveFuelType) VALUES (1, 25,50,1);</v>
      </c>
    </row>
    <row r="17" spans="3:3" x14ac:dyDescent="0.4">
      <c r="C17" t="str">
        <f>"INSERT INTO Diesel (id, combustivelCapacity, locomotiveFuelType) VALUES (1, "&amp;U5&amp;",2);"</f>
        <v>INSERT INTO Diesel (id, combustivelCapacity, locomotiveFuelType) VALUES (1, 4882,2);</v>
      </c>
    </row>
    <row r="19" spans="3:3" x14ac:dyDescent="0.4">
      <c r="C19" t="str">
        <f>"INSERT INTO LocomotiveModel (id, make, modelName, power, maxSpeed, weight, length, width, height, traction, locomotiveFuelTypeId, bogiesId, gaugeId) VALUES (1,'"&amp;C2&amp;"','"&amp;D2&amp;"',"&amp;H2&amp;","&amp;M2&amp;","&amp;L2&amp;","&amp;I2&amp;","&amp;J2&amp;","&amp;K2&amp;","&amp;O2&amp;",1,1,1);"</f>
        <v>INSERT INTO LocomotiveModel (id, make, modelName, power, maxSpeed, weight, length, width, height, traction, locomotiveFuelTypeId, bogiesId, gaugeId) VALUES (1,'Siemens','Eurosprinter',5600,220,87,19.2,3,4.375,300,1,1,1);</v>
      </c>
    </row>
    <row r="20" spans="3:3" x14ac:dyDescent="0.4">
      <c r="C20" t="str">
        <f>"INSERT INTO LocomotiveModel (id, make, modelName, power, maxSpeed, weight, length, width, height, traction, locomotiveFuelTypeId, bogiesId, gaugeId) VALUES (2,'"&amp;C5&amp;"','"&amp;D5&amp;"',"&amp;H5&amp;","&amp;M5&amp;","&amp;L5&amp;","&amp;I5&amp;","&amp;J5&amp;","&amp;K5&amp;","&amp;O5&amp;",2,2,1);"</f>
        <v>INSERT INTO LocomotiveModel (id, make, modelName, power, maxSpeed, weight, length, width, height, traction, locomotiveFuelTypeId, bogiesId, gaugeId) VALUES (2,'Sorefame - Alsthom','CP 1900',1623,100,117,19.084,3.062,4.31,396,2,2,1);</v>
      </c>
    </row>
    <row r="24" spans="3:3" x14ac:dyDescent="0.4">
      <c r="C24" t="str">
        <f>"INSERT INTO Locomotive (numberLocomotive, name, yearOfEntry, operationalSpeed, model, operator) VALUES ("&amp;Locomotive!A2&amp;",'"&amp;B2&amp;"',"&amp;E2&amp;","&amp;N2&amp;",1,'PT509017800');"</f>
        <v>INSERT INTO Locomotive (numberLocomotive, name, yearOfEntry, operationalSpeed, model, operator) VALUES (5621,'Inês',1995,70,1,'PT509017800');</v>
      </c>
    </row>
    <row r="25" spans="3:3" x14ac:dyDescent="0.4">
      <c r="C25" t="str">
        <f>"INSERT INTO Locomotive (numberLocomotive, name, yearOfEntry, operationalSpeed, model, operator) VALUES ("&amp;Locomotive!A3&amp;",'"&amp;B3&amp;"',"&amp;E3&amp;","&amp;N3&amp;",1,'PT509017800');"</f>
        <v>INSERT INTO Locomotive (numberLocomotive, name, yearOfEntry, operationalSpeed, model, operator) VALUES (5623,'Paz',1995,70,1,'PT509017800');</v>
      </c>
    </row>
    <row r="26" spans="3:3" x14ac:dyDescent="0.4">
      <c r="C26" t="str">
        <f>"INSERT INTO Locomotive (numberLocomotive, name, yearOfEntry, operationalSpeed, model, operator) VALUES ("&amp;Locomotive!A4&amp;",'"&amp;B4&amp;"',"&amp;E4&amp;","&amp;N4&amp;",1,'PT509017800');"</f>
        <v>INSERT INTO Locomotive (numberLocomotive, name, yearOfEntry, operationalSpeed, model, operator) VALUES (5630,'Helena',1996,70,1,'PT509017800');</v>
      </c>
    </row>
    <row r="27" spans="3:3" x14ac:dyDescent="0.4">
      <c r="C27" t="str">
        <f>"INSERT INTO Locomotive (numberLocomotive, name, yearOfEntry, operationalSpeed, model, operator) VALUES ("&amp;Locomotive!A5&amp;",'"&amp;B5&amp;"',"&amp;E5&amp;","&amp;N5&amp;",2,'PT509017800');"</f>
        <v>INSERT INTO Locomotive (numberLocomotive, name, yearOfEntry, operationalSpeed, model, operator) VALUES (1903,'Eva',1981,42.5,2,'PT509017800');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3181-493E-2843-91BA-0E16E569EF54}">
  <dimension ref="A1:N19"/>
  <sheetViews>
    <sheetView zoomScale="126" workbookViewId="0">
      <selection activeCell="A5" sqref="A5"/>
    </sheetView>
  </sheetViews>
  <sheetFormatPr defaultColWidth="10.6640625" defaultRowHeight="16" x14ac:dyDescent="0.4"/>
  <cols>
    <col min="13" max="13" width="27.33203125" bestFit="1" customWidth="1"/>
  </cols>
  <sheetData>
    <row r="1" spans="1:14" x14ac:dyDescent="0.4">
      <c r="A1" t="s">
        <v>0</v>
      </c>
      <c r="B1" t="s">
        <v>55</v>
      </c>
      <c r="C1" t="s">
        <v>84</v>
      </c>
      <c r="D1" t="s">
        <v>78</v>
      </c>
      <c r="E1" t="s">
        <v>79</v>
      </c>
      <c r="F1" t="s">
        <v>36</v>
      </c>
      <c r="G1" t="s">
        <v>58</v>
      </c>
      <c r="H1" t="s">
        <v>59</v>
      </c>
      <c r="I1" t="s">
        <v>76</v>
      </c>
      <c r="J1" t="s">
        <v>60</v>
      </c>
      <c r="K1" t="s">
        <v>87</v>
      </c>
      <c r="L1" t="s">
        <v>88</v>
      </c>
      <c r="M1" t="s">
        <v>61</v>
      </c>
      <c r="N1" t="s">
        <v>64</v>
      </c>
    </row>
    <row r="2" spans="1:14" x14ac:dyDescent="0.4">
      <c r="A2">
        <v>1245</v>
      </c>
      <c r="B2" t="s">
        <v>86</v>
      </c>
      <c r="C2" t="s">
        <v>83</v>
      </c>
      <c r="D2">
        <v>2</v>
      </c>
      <c r="E2" t="s">
        <v>85</v>
      </c>
      <c r="F2">
        <v>17240</v>
      </c>
      <c r="G2">
        <v>3072</v>
      </c>
      <c r="H2">
        <v>4270</v>
      </c>
      <c r="I2">
        <v>24</v>
      </c>
      <c r="J2">
        <v>120</v>
      </c>
      <c r="K2">
        <v>56</v>
      </c>
      <c r="L2">
        <v>75</v>
      </c>
      <c r="M2" t="s">
        <v>89</v>
      </c>
      <c r="N2">
        <v>1668</v>
      </c>
    </row>
    <row r="3" spans="1:14" x14ac:dyDescent="0.4">
      <c r="A3">
        <v>1278</v>
      </c>
      <c r="B3" t="s">
        <v>91</v>
      </c>
      <c r="C3" t="s">
        <v>90</v>
      </c>
      <c r="D3">
        <v>2</v>
      </c>
      <c r="E3" t="s">
        <v>85</v>
      </c>
      <c r="F3">
        <v>9640</v>
      </c>
      <c r="G3">
        <v>3120</v>
      </c>
      <c r="H3" t="s">
        <v>113</v>
      </c>
      <c r="I3" t="s">
        <v>108</v>
      </c>
      <c r="J3">
        <v>100</v>
      </c>
      <c r="K3" t="s">
        <v>102</v>
      </c>
      <c r="L3">
        <v>38</v>
      </c>
      <c r="M3" t="s">
        <v>89</v>
      </c>
      <c r="N3">
        <v>1668</v>
      </c>
    </row>
    <row r="4" spans="1:14" x14ac:dyDescent="0.4">
      <c r="A4">
        <v>1325</v>
      </c>
      <c r="B4" t="s">
        <v>92</v>
      </c>
      <c r="C4" t="s">
        <v>93</v>
      </c>
      <c r="D4">
        <v>2</v>
      </c>
      <c r="E4" t="s">
        <v>85</v>
      </c>
      <c r="F4">
        <v>21700</v>
      </c>
      <c r="G4">
        <v>3180</v>
      </c>
      <c r="H4">
        <v>4170</v>
      </c>
      <c r="I4" t="s">
        <v>109</v>
      </c>
      <c r="J4">
        <v>100</v>
      </c>
      <c r="K4" t="s">
        <v>103</v>
      </c>
      <c r="L4">
        <v>110</v>
      </c>
      <c r="M4" t="s">
        <v>94</v>
      </c>
      <c r="N4">
        <v>1668</v>
      </c>
    </row>
    <row r="5" spans="1:14" x14ac:dyDescent="0.4">
      <c r="A5">
        <v>1104</v>
      </c>
      <c r="B5" t="s">
        <v>95</v>
      </c>
      <c r="C5" t="s">
        <v>83</v>
      </c>
      <c r="D5">
        <v>2</v>
      </c>
      <c r="E5" t="s">
        <v>85</v>
      </c>
      <c r="F5">
        <v>14040</v>
      </c>
      <c r="G5">
        <v>3104</v>
      </c>
      <c r="H5">
        <v>2535</v>
      </c>
      <c r="I5" t="s">
        <v>110</v>
      </c>
      <c r="J5">
        <v>120</v>
      </c>
      <c r="K5" t="s">
        <v>104</v>
      </c>
      <c r="L5" t="s">
        <v>107</v>
      </c>
      <c r="M5" t="s">
        <v>96</v>
      </c>
      <c r="N5">
        <v>1668</v>
      </c>
    </row>
    <row r="6" spans="1:14" x14ac:dyDescent="0.4">
      <c r="A6">
        <v>985</v>
      </c>
      <c r="B6" t="s">
        <v>98</v>
      </c>
      <c r="C6" t="s">
        <v>83</v>
      </c>
      <c r="D6">
        <v>1</v>
      </c>
      <c r="E6" t="s">
        <v>99</v>
      </c>
      <c r="F6">
        <v>13860</v>
      </c>
      <c r="G6">
        <v>2850</v>
      </c>
      <c r="H6">
        <v>1060</v>
      </c>
      <c r="I6" t="s">
        <v>111</v>
      </c>
      <c r="J6">
        <v>120</v>
      </c>
      <c r="K6" t="s">
        <v>105</v>
      </c>
      <c r="L6" t="s">
        <v>107</v>
      </c>
      <c r="M6" t="s">
        <v>96</v>
      </c>
      <c r="N6">
        <v>1668</v>
      </c>
    </row>
    <row r="7" spans="1:14" x14ac:dyDescent="0.4">
      <c r="A7">
        <v>987</v>
      </c>
      <c r="B7" t="s">
        <v>101</v>
      </c>
      <c r="C7" t="s">
        <v>100</v>
      </c>
      <c r="D7">
        <v>2</v>
      </c>
      <c r="E7" t="s">
        <v>85</v>
      </c>
      <c r="F7">
        <v>18116</v>
      </c>
      <c r="G7">
        <v>2950</v>
      </c>
      <c r="H7">
        <v>1030</v>
      </c>
      <c r="I7" t="s">
        <v>112</v>
      </c>
      <c r="J7">
        <v>120</v>
      </c>
      <c r="K7" t="s">
        <v>106</v>
      </c>
      <c r="L7" t="s">
        <v>107</v>
      </c>
      <c r="M7" t="s">
        <v>96</v>
      </c>
      <c r="N7">
        <v>1668</v>
      </c>
    </row>
    <row r="8" spans="1:14" x14ac:dyDescent="0.4">
      <c r="A8">
        <v>988</v>
      </c>
      <c r="B8" t="s">
        <v>101</v>
      </c>
      <c r="C8" t="s">
        <v>100</v>
      </c>
      <c r="D8">
        <v>2</v>
      </c>
      <c r="E8" t="s">
        <v>85</v>
      </c>
      <c r="F8">
        <v>18116</v>
      </c>
      <c r="G8">
        <v>2950</v>
      </c>
      <c r="H8">
        <v>1030</v>
      </c>
      <c r="I8" t="s">
        <v>112</v>
      </c>
      <c r="J8">
        <v>120</v>
      </c>
      <c r="K8" t="s">
        <v>106</v>
      </c>
      <c r="L8" t="s">
        <v>107</v>
      </c>
      <c r="M8" t="s">
        <v>96</v>
      </c>
      <c r="N8">
        <v>1435</v>
      </c>
    </row>
    <row r="9" spans="1:14" x14ac:dyDescent="0.4">
      <c r="L9" t="s">
        <v>107</v>
      </c>
    </row>
    <row r="10" spans="1:14" x14ac:dyDescent="0.4">
      <c r="B10" t="str">
        <f>"INSERT INTO WagonsType (id, description) VALUES (1,'"&amp;M3&amp;"');"</f>
        <v>INSERT INTO WagonsType (id, description) VALUES (1,'Cereal wagon');</v>
      </c>
      <c r="J10" s="4"/>
      <c r="K10" s="4"/>
    </row>
    <row r="11" spans="1:14" x14ac:dyDescent="0.4">
      <c r="B11" t="str">
        <f>"INSERT INTO WagonsType (id, description) VALUES (2,'"&amp;M4&amp;"');"</f>
        <v>INSERT INTO WagonsType (id, description) VALUES (2,'Covered wagon with sliding door');</v>
      </c>
    </row>
    <row r="13" spans="1:14" x14ac:dyDescent="0.4">
      <c r="B13" t="str">
        <f>"INSERT INTO WagonModel (id, nameModel, maker, length, width, height, maxSpeed, payload, volume, bogiesId, wagonsTypeId, gaugeId) VALUES ("&amp;A2&amp;",'"&amp;B2&amp;"','"&amp;C2&amp;"',"&amp;F2&amp;","&amp;G2&amp;","&amp;H2&amp;","&amp;J2&amp;","&amp;K2&amp;","&amp;L2&amp;",4,1,1);"</f>
        <v>INSERT INTO WagonModel (id, nameModel, maker, length, width, height, maxSpeed, payload, volume, bogiesId, wagonsTypeId, gaugeId) VALUES (1245,'Tadgs 32 94 082 3','Metalsines',17240,3072,4270,120,56,75,4,1,1);</v>
      </c>
    </row>
    <row r="14" spans="1:14" x14ac:dyDescent="0.4">
      <c r="B14" t="str">
        <f>"INSERT INTO WagonModel (id, nameModel, maker, length, width, height, maxSpeed, payload, volume, bogiesId, wagonsTypeId, gaugeId) VALUES ("&amp;A3&amp;",'"&amp;B3&amp;"','"&amp;C3&amp;"',"&amp;F3&amp;","&amp;G3&amp;","&amp;H3&amp;","&amp;J3&amp;","&amp;K3&amp;","&amp;L3&amp;",4,1,1);"</f>
        <v>INSERT INTO WagonModel (id, nameModel, maker, length, width, height, maxSpeed, payload, volume, bogiesId, wagonsTypeId, gaugeId) VALUES (1278,'Tdgs 41 94 074 1','Equimetal',9640,3120,4165.5,100,26.2,38,4,1,1);</v>
      </c>
    </row>
    <row r="15" spans="1:14" x14ac:dyDescent="0.4">
      <c r="B15" t="str">
        <f>"INSERT INTO WagonModel (id, nameModel, maker, length, width, height, maxSpeed, payload, volume, bogiesId, wagonsTypeId, gaugeId) VALUES ("&amp;A4&amp;",'"&amp;B4&amp;"','"&amp;C4&amp;"',"&amp;F4&amp;","&amp;G4&amp;","&amp;H4&amp;","&amp;J4&amp;","&amp;K4&amp;","&amp;L4&amp;",4,2,1);"</f>
        <v>INSERT INTO WagonModel (id, nameModel, maker, length, width, height, maxSpeed, payload, volume, bogiesId, wagonsTypeId, gaugeId) VALUES (1325,'Gabs 81 94 181 1','Sepsa Cometna',21700,3180,4170,100,50.2,110,4,2,1);</v>
      </c>
    </row>
    <row r="16" spans="1:14" x14ac:dyDescent="0.4">
      <c r="B16" t="str">
        <f>"INSERT INTO WagonModel (id, nameModel, maker, length, width, height, maxSpeed, payload, volume, bogiesId, wagonsTypeId, gaugeId) VALUES ("&amp;A5&amp;",'"&amp;B5&amp;"','"&amp;C5&amp;"',"&amp;F5&amp;","&amp;G5&amp;","&amp;H5&amp;","&amp;J5&amp;","&amp;K5&amp;","&amp;L5&amp;",4,2,1);"</f>
        <v>INSERT INTO WagonModel (id, nameModel, maker, length, width, height, maxSpeed, payload, volume, bogiesId, wagonsTypeId, gaugeId) VALUES (1104,'Regmms 32 94 356 3','Metalsines',14040,3104,2535,120,60.6,76.3,4,2,1);</v>
      </c>
    </row>
    <row r="17" spans="2:2" x14ac:dyDescent="0.4">
      <c r="B17" t="str">
        <f>"INSERT INTO WagonModel (id, nameModel, maker, length, width, height, maxSpeed, payload, volume, bogiesId, wagonsTypeId, gaugeId) VALUES ("&amp;A6&amp;",'"&amp;B6&amp;"','"&amp;C6&amp;"',"&amp;F6&amp;","&amp;G6&amp;","&amp;H6&amp;","&amp;J6&amp;","&amp;K6&amp;","&amp;L6&amp;",3,2,1);"</f>
        <v>INSERT INTO WagonModel (id, nameModel, maker, length, width, height, maxSpeed, payload, volume, bogiesId, wagonsTypeId, gaugeId) VALUES (985,'Lgs 22 94 441 6','Metalsines',13860,2850,1060,120,28.1,76.3,3,2,1);</v>
      </c>
    </row>
    <row r="18" spans="2:2" x14ac:dyDescent="0.4">
      <c r="B18" t="str">
        <f>"INSERT INTO WagonModel (id, nameModel, maker, length, width, height, maxSpeed, payload, volume, bogiesId, wagonsTypeId, gaugeId) VALUES ("&amp;A7&amp;",'"&amp;B7&amp;"','"&amp;C7&amp;"',"&amp;F7&amp;","&amp;G7&amp;","&amp;H7&amp;","&amp;J7&amp;","&amp;K7&amp;","&amp;L7&amp;",4,2,1);"</f>
        <v>INSERT INTO WagonModel (id, nameModel, maker, length, width, height, maxSpeed, payload, volume, bogiesId, wagonsTypeId, gaugeId) VALUES (987,'Sgnss 12 94 455 2','Emef',18116,2950,1030,120,68.4,76.3,4,2,1);</v>
      </c>
    </row>
    <row r="19" spans="2:2" x14ac:dyDescent="0.4">
      <c r="B19" t="str">
        <f>"INSERT INTO WagonModel (id, nameModel, maker, length, width, height, maxSpeed, payload, volume, bogiesId, wagonsTypeId, gaugeId) VALUES ("&amp;A8&amp;",'"&amp;B8&amp;"','"&amp;C8&amp;"',"&amp;F8&amp;","&amp;G8&amp;","&amp;H8&amp;","&amp;J8&amp;","&amp;K8&amp;","&amp;L8&amp;",4,2,2);"</f>
        <v>INSERT INTO WagonModel (id, nameModel, maker, length, width, height, maxSpeed, payload, volume, bogiesId, wagonsTypeId, gaugeId) VALUES (988,'Sgnss 12 94 455 2','Emef',18116,2950,1030,120,68.4,76.3,4,2,2);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640B2-04FA-3A44-A184-D1D4735E4021}">
  <dimension ref="A1:G32"/>
  <sheetViews>
    <sheetView topLeftCell="A9" workbookViewId="0">
      <selection activeCell="E33" sqref="E33"/>
    </sheetView>
  </sheetViews>
  <sheetFormatPr defaultColWidth="10.6640625" defaultRowHeight="16" x14ac:dyDescent="0.4"/>
  <cols>
    <col min="2" max="2" width="17.5" bestFit="1" customWidth="1"/>
  </cols>
  <sheetData>
    <row r="1" spans="1:7" x14ac:dyDescent="0.4">
      <c r="A1" t="s">
        <v>69</v>
      </c>
      <c r="B1" t="s">
        <v>55</v>
      </c>
      <c r="C1" t="s">
        <v>63</v>
      </c>
      <c r="D1" t="s">
        <v>97</v>
      </c>
    </row>
    <row r="2" spans="1:7" x14ac:dyDescent="0.4">
      <c r="A2">
        <v>3563077</v>
      </c>
      <c r="B2" t="s">
        <v>95</v>
      </c>
      <c r="C2" t="s">
        <v>51</v>
      </c>
      <c r="D2">
        <v>1987</v>
      </c>
      <c r="G2" t="str">
        <f>"INSERT INTO Wagon (numberWagon, weight, yearOfEntry, wagonModelId, operator) VALUES ("&amp;A2&amp;", 21.2,"&amp;D2&amp;",1104,'PT509017800');"</f>
        <v>INSERT INTO Wagon (numberWagon, weight, yearOfEntry, wagonModelId, operator) VALUES (3563077, 21.2,1987,1104,'PT509017800');</v>
      </c>
    </row>
    <row r="3" spans="1:7" x14ac:dyDescent="0.4">
      <c r="A3">
        <v>3563078</v>
      </c>
      <c r="B3" t="s">
        <v>95</v>
      </c>
      <c r="C3" t="s">
        <v>51</v>
      </c>
      <c r="D3">
        <v>1987</v>
      </c>
      <c r="G3" t="str">
        <f>"INSERT INTO Wagon (numberWagon, weight, yearOfEntry, wagonModelId, operator) VALUES ("&amp;A3&amp;", 21.2,"&amp;D3&amp;",1104,'PT509017800');"</f>
        <v>INSERT INTO Wagon (numberWagon, weight, yearOfEntry, wagonModelId, operator) VALUES (3563078, 21.2,1987,1104,'PT509017800');</v>
      </c>
    </row>
    <row r="4" spans="1:7" x14ac:dyDescent="0.4">
      <c r="A4">
        <v>3563079</v>
      </c>
      <c r="B4" t="s">
        <v>95</v>
      </c>
      <c r="C4" t="s">
        <v>51</v>
      </c>
      <c r="D4">
        <v>1987</v>
      </c>
      <c r="G4" t="str">
        <f>"INSERT INTO Wagon (numberWagon, weight, yearOfEntry, wagonModelId, operator) VALUES ("&amp;A4&amp;", 21.2,"&amp;D4&amp;",1104,'PT509017800');"</f>
        <v>INSERT INTO Wagon (numberWagon, weight, yearOfEntry, wagonModelId, operator) VALUES (3563079, 21.2,1987,1104,'PT509017800');</v>
      </c>
    </row>
    <row r="5" spans="1:7" x14ac:dyDescent="0.4">
      <c r="A5">
        <v>3563080</v>
      </c>
      <c r="B5" t="s">
        <v>95</v>
      </c>
      <c r="C5" t="s">
        <v>51</v>
      </c>
      <c r="D5">
        <v>1987</v>
      </c>
      <c r="G5" t="str">
        <f>"INSERT INTO Wagon (numberWagon, weight, yearOfEntry, wagonModelId, operator) VALUES ("&amp;A5&amp;", 21.2,"&amp;D5&amp;",1104,'PT509017800');"</f>
        <v>INSERT INTO Wagon (numberWagon, weight, yearOfEntry, wagonModelId, operator) VALUES (3563080, 21.2,1987,1104,'PT509017800');</v>
      </c>
    </row>
    <row r="6" spans="1:7" x14ac:dyDescent="0.4">
      <c r="A6">
        <v>3563081</v>
      </c>
      <c r="B6" t="s">
        <v>95</v>
      </c>
      <c r="C6" t="s">
        <v>51</v>
      </c>
      <c r="D6">
        <v>1987</v>
      </c>
      <c r="G6" t="str">
        <f>"INSERT INTO Wagon (numberWagon, weight, yearOfEntry, wagonModelId, operator) VALUES ("&amp;A6&amp;", 21.2,"&amp;D6&amp;",1104,'PT509017800');"</f>
        <v>INSERT INTO Wagon (numberWagon, weight, yearOfEntry, wagonModelId, operator) VALUES (3563081, 21.2,1987,1104,'PT509017800');</v>
      </c>
    </row>
    <row r="7" spans="1:7" x14ac:dyDescent="0.4">
      <c r="A7">
        <v>3563082</v>
      </c>
      <c r="B7" t="s">
        <v>95</v>
      </c>
      <c r="C7" t="s">
        <v>51</v>
      </c>
      <c r="D7">
        <v>1987</v>
      </c>
      <c r="G7" t="str">
        <f>"INSERT INTO Wagon (numberWagon, weight, yearOfEntry, wagonModelId, operator) VALUES ("&amp;A7&amp;", 21.2,"&amp;D7&amp;",1104,'PT509017800');"</f>
        <v>INSERT INTO Wagon (numberWagon, weight, yearOfEntry, wagonModelId, operator) VALUES (3563082, 21.2,1987,1104,'PT509017800');</v>
      </c>
    </row>
    <row r="8" spans="1:7" x14ac:dyDescent="0.4">
      <c r="A8">
        <v>3563083</v>
      </c>
      <c r="B8" t="s">
        <v>95</v>
      </c>
      <c r="C8" t="s">
        <v>51</v>
      </c>
      <c r="D8">
        <v>1987</v>
      </c>
      <c r="G8" t="str">
        <f>"INSERT INTO Wagon (numberWagon, weight, yearOfEntry, wagonModelId, operator) VALUES ("&amp;A8&amp;", 21.2,"&amp;D8&amp;",1104,'PT509017800');"</f>
        <v>INSERT INTO Wagon (numberWagon, weight, yearOfEntry, wagonModelId, operator) VALUES (3563083, 21.2,1987,1104,'PT509017800');</v>
      </c>
    </row>
    <row r="9" spans="1:7" x14ac:dyDescent="0.4">
      <c r="A9">
        <v>3563084</v>
      </c>
      <c r="B9" t="s">
        <v>95</v>
      </c>
      <c r="C9" t="s">
        <v>51</v>
      </c>
      <c r="D9">
        <v>1987</v>
      </c>
      <c r="G9" t="str">
        <f>"INSERT INTO Wagon (numberWagon, weight, yearOfEntry, wagonModelId, operator) VALUES ("&amp;A9&amp;", 21.2,"&amp;D9&amp;",1104,'PT509017800');"</f>
        <v>INSERT INTO Wagon (numberWagon, weight, yearOfEntry, wagonModelId, operator) VALUES (3563084, 21.2,1987,1104,'PT509017800');</v>
      </c>
    </row>
    <row r="10" spans="1:7" x14ac:dyDescent="0.4">
      <c r="A10" s="5">
        <v>3563085</v>
      </c>
      <c r="B10" t="s">
        <v>95</v>
      </c>
      <c r="C10" t="s">
        <v>51</v>
      </c>
      <c r="D10">
        <v>1987</v>
      </c>
      <c r="G10" t="str">
        <f>"INSERT INTO Wagon (numberWagon, weight, yearOfEntry, wagonModelId, operator) VALUES ("&amp;A10&amp;", 21.2,"&amp;D10&amp;",1104,'PT509017800');"</f>
        <v>INSERT INTO Wagon (numberWagon, weight, yearOfEntry, wagonModelId, operator) VALUES (3563085, 21.2,1987,1104,'PT509017800');</v>
      </c>
    </row>
    <row r="11" spans="1:7" x14ac:dyDescent="0.4">
      <c r="A11" s="5">
        <v>3563086</v>
      </c>
      <c r="B11" t="s">
        <v>95</v>
      </c>
      <c r="C11" t="s">
        <v>51</v>
      </c>
      <c r="D11">
        <v>1987</v>
      </c>
      <c r="F11" s="4"/>
      <c r="G11" t="str">
        <f>"INSERT INTO Wagon (numberWagon, weight, yearOfEntry, wagonModelId, operator) VALUES ("&amp;A11&amp;", 21.2,"&amp;D11&amp;",1104,'PT509017800');"</f>
        <v>INSERT INTO Wagon (numberWagon, weight, yearOfEntry, wagonModelId, operator) VALUES (3563086, 21.2,1987,1104,'PT509017800');</v>
      </c>
    </row>
    <row r="12" spans="1:7" x14ac:dyDescent="0.4">
      <c r="A12" s="6">
        <v>3563087</v>
      </c>
      <c r="B12" t="s">
        <v>95</v>
      </c>
      <c r="C12" t="s">
        <v>51</v>
      </c>
      <c r="D12">
        <v>1987</v>
      </c>
      <c r="G12" t="str">
        <f>"INSERT INTO Wagon (numberWagon, weight, yearOfEntry, wagonModelId, operator) VALUES ("&amp;A12&amp;", 21.2,"&amp;D12&amp;",1104,'PT509017800');"</f>
        <v>INSERT INTO Wagon (numberWagon, weight, yearOfEntry, wagonModelId, operator) VALUES (3563087, 21.2,1987,1104,'PT509017800');</v>
      </c>
    </row>
    <row r="13" spans="1:7" x14ac:dyDescent="0.4">
      <c r="A13">
        <v>3563088</v>
      </c>
      <c r="B13" t="s">
        <v>95</v>
      </c>
      <c r="C13" t="s">
        <v>51</v>
      </c>
      <c r="D13">
        <v>1987</v>
      </c>
      <c r="G13" t="str">
        <f>"INSERT INTO Wagon (numberWagon, weight, yearOfEntry, wagonModelId, operator) VALUES ("&amp;A13&amp;", 21.2,"&amp;D13&amp;",1104,'PT509017800');"</f>
        <v>INSERT INTO Wagon (numberWagon, weight, yearOfEntry, wagonModelId, operator) VALUES (3563088, 21.2,1987,1104,'PT509017800');</v>
      </c>
    </row>
    <row r="14" spans="1:7" x14ac:dyDescent="0.4">
      <c r="A14" s="5">
        <v>3563089</v>
      </c>
      <c r="B14" t="s">
        <v>95</v>
      </c>
      <c r="C14" t="s">
        <v>51</v>
      </c>
      <c r="D14">
        <v>1987</v>
      </c>
      <c r="G14" t="str">
        <f>"INSERT INTO Wagon (numberWagon, weight, yearOfEntry, wagonModelId, operator) VALUES ("&amp;A14&amp;", 21.2,"&amp;D14&amp;",1104,'PT509017800');"</f>
        <v>INSERT INTO Wagon (numberWagon, weight, yearOfEntry, wagonModelId, operator) VALUES (3563089, 21.2,1987,1104,'PT509017800');</v>
      </c>
    </row>
    <row r="15" spans="1:7" x14ac:dyDescent="0.4">
      <c r="A15" s="5">
        <v>3563090</v>
      </c>
      <c r="B15" t="s">
        <v>95</v>
      </c>
      <c r="C15" t="s">
        <v>51</v>
      </c>
      <c r="D15">
        <v>1987</v>
      </c>
      <c r="G15" t="str">
        <f>"INSERT INTO Wagon (numberWagon, weight, yearOfEntry, wagonModelId, operator) VALUES ("&amp;A15&amp;", 21.2,"&amp;D15&amp;",1104,'PT509017800');"</f>
        <v>INSERT INTO Wagon (numberWagon, weight, yearOfEntry, wagonModelId, operator) VALUES (3563090, 21.2,1987,1104,'PT509017800');</v>
      </c>
    </row>
    <row r="16" spans="1:7" x14ac:dyDescent="0.4">
      <c r="A16" s="5">
        <v>3563091</v>
      </c>
      <c r="B16" t="s">
        <v>95</v>
      </c>
      <c r="C16" t="s">
        <v>51</v>
      </c>
      <c r="D16">
        <v>1987</v>
      </c>
      <c r="G16" t="str">
        <f>"INSERT INTO Wagon (numberWagon, weight, yearOfEntry, wagonModelId, operator) VALUES ("&amp;A16&amp;", 21.2,"&amp;D16&amp;",1104,'PT509017800');"</f>
        <v>INSERT INTO Wagon (numberWagon, weight, yearOfEntry, wagonModelId, operator) VALUES (3563091, 21.2,1987,1104,'PT509017800');</v>
      </c>
    </row>
    <row r="17" spans="1:7" x14ac:dyDescent="0.4">
      <c r="A17" s="5">
        <v>3563092</v>
      </c>
      <c r="B17" t="s">
        <v>95</v>
      </c>
      <c r="C17" t="s">
        <v>51</v>
      </c>
      <c r="D17">
        <v>1987</v>
      </c>
      <c r="G17" t="str">
        <f>"INSERT INTO Wagon (numberWagon, weight, yearOfEntry, wagonModelId, operator) VALUES ("&amp;A17&amp;", 21.2,"&amp;D17&amp;",1104,'PT509017800');"</f>
        <v>INSERT INTO Wagon (numberWagon, weight, yearOfEntry, wagonModelId, operator) VALUES (3563092, 21.2,1987,1104,'PT509017800');</v>
      </c>
    </row>
    <row r="18" spans="1:7" x14ac:dyDescent="0.4">
      <c r="A18" s="5">
        <v>823045</v>
      </c>
      <c r="B18" t="s">
        <v>86</v>
      </c>
      <c r="C18" t="s">
        <v>51</v>
      </c>
      <c r="D18">
        <v>1990</v>
      </c>
      <c r="G18" t="str">
        <f>"INSERT INTO Wagon (numberWagon, weight, yearOfEntry, wagonModelId, operator) VALUES ("&amp;A18&amp;",24,"&amp;D18&amp;",1245,'PT509017800');"</f>
        <v>INSERT INTO Wagon (numberWagon, weight, yearOfEntry, wagonModelId, operator) VALUES (823045,24,1990,1245,'PT509017800');</v>
      </c>
    </row>
    <row r="19" spans="1:7" x14ac:dyDescent="0.4">
      <c r="A19">
        <v>823046</v>
      </c>
      <c r="B19" t="s">
        <v>86</v>
      </c>
      <c r="C19" t="s">
        <v>51</v>
      </c>
      <c r="D19">
        <v>1990</v>
      </c>
      <c r="G19" t="str">
        <f>"INSERT INTO Wagon (numberWagon, weight, yearOfEntry, wagonModelId, operator) VALUES ("&amp;A19&amp;",24,"&amp;D19&amp;",1245,'PT509017800');"</f>
        <v>INSERT INTO Wagon (numberWagon, weight, yearOfEntry, wagonModelId, operator) VALUES (823046,24,1990,1245,'PT509017800');</v>
      </c>
    </row>
    <row r="20" spans="1:7" x14ac:dyDescent="0.4">
      <c r="A20" s="5">
        <v>823047</v>
      </c>
      <c r="B20" t="s">
        <v>86</v>
      </c>
      <c r="C20" t="s">
        <v>51</v>
      </c>
      <c r="D20">
        <v>1990</v>
      </c>
      <c r="G20" t="str">
        <f>"INSERT INTO Wagon (numberWagon, weight, yearOfEntry, wagonModelId, operator) VALUES ("&amp;A20&amp;",24,"&amp;D20&amp;",1245,'PT509017800');"</f>
        <v>INSERT INTO Wagon (numberWagon, weight, yearOfEntry, wagonModelId, operator) VALUES (823047,24,1990,1245,'PT509017800');</v>
      </c>
    </row>
    <row r="21" spans="1:7" x14ac:dyDescent="0.4">
      <c r="A21" s="5">
        <v>823048</v>
      </c>
      <c r="B21" t="s">
        <v>86</v>
      </c>
      <c r="C21" t="s">
        <v>51</v>
      </c>
      <c r="D21">
        <v>1990</v>
      </c>
      <c r="G21" t="str">
        <f>"INSERT INTO Wagon (numberWagon, weight, yearOfEntry, wagonModelId, operator) VALUES ("&amp;A21&amp;",24,"&amp;D21&amp;",1245,'PT509017800');"</f>
        <v>INSERT INTO Wagon (numberWagon, weight, yearOfEntry, wagonModelId, operator) VALUES (823048,24,1990,1245,'PT509017800');</v>
      </c>
    </row>
    <row r="22" spans="1:7" x14ac:dyDescent="0.4">
      <c r="A22" s="5">
        <v>741001</v>
      </c>
      <c r="B22" t="s">
        <v>91</v>
      </c>
      <c r="C22" t="s">
        <v>51</v>
      </c>
      <c r="D22">
        <v>1977</v>
      </c>
      <c r="G22" t="str">
        <f>"INSERT INTO Wagon (numberWagon, weight, yearOfEntry, wagonModelId, operator) VALUES ("&amp;A22&amp;",13.8,"&amp;D22&amp;",1278,'PT509017800');"</f>
        <v>INSERT INTO Wagon (numberWagon, weight, yearOfEntry, wagonModelId, operator) VALUES (741001,13.8,1977,1278,'PT509017800');</v>
      </c>
    </row>
    <row r="23" spans="1:7" x14ac:dyDescent="0.4">
      <c r="A23" s="5">
        <v>741002</v>
      </c>
      <c r="B23" t="s">
        <v>91</v>
      </c>
      <c r="C23" t="s">
        <v>51</v>
      </c>
      <c r="D23">
        <v>1977</v>
      </c>
      <c r="G23" t="str">
        <f>"INSERT INTO Wagon (numberWagon, weight, yearOfEntry, wagonModelId, operator) VALUES ("&amp;A23&amp;",13.8,"&amp;D23&amp;",1278,'PT509017800');"</f>
        <v>INSERT INTO Wagon (numberWagon, weight, yearOfEntry, wagonModelId, operator) VALUES (741002,13.8,1977,1278,'PT509017800');</v>
      </c>
    </row>
    <row r="24" spans="1:7" x14ac:dyDescent="0.4">
      <c r="A24" s="5">
        <v>741003</v>
      </c>
      <c r="B24" t="s">
        <v>91</v>
      </c>
      <c r="C24" t="s">
        <v>51</v>
      </c>
      <c r="D24">
        <v>1977</v>
      </c>
      <c r="G24" t="str">
        <f>"INSERT INTO Wagon (numberWagon, weight, yearOfEntry, wagonModelId, operator) VALUES ("&amp;A24&amp;",13.8,"&amp;D24&amp;",1278,'PT509017800');"</f>
        <v>INSERT INTO Wagon (numberWagon, weight, yearOfEntry, wagonModelId, operator) VALUES (741003,13.8,1977,1278,'PT509017800');</v>
      </c>
    </row>
    <row r="25" spans="1:7" x14ac:dyDescent="0.4">
      <c r="A25" s="5">
        <v>741004</v>
      </c>
      <c r="B25" t="s">
        <v>91</v>
      </c>
      <c r="C25" t="s">
        <v>51</v>
      </c>
      <c r="D25">
        <v>1977</v>
      </c>
      <c r="G25" t="str">
        <f>"INSERT INTO Wagon (numberWagon, weight, yearOfEntry, wagonModelId, operator) VALUES ("&amp;A25&amp;",13.8,"&amp;D25&amp;",1278,'PT509017800');"</f>
        <v>INSERT INTO Wagon (numberWagon, weight, yearOfEntry, wagonModelId, operator) VALUES (741004,13.8,1977,1278,'PT509017800');</v>
      </c>
    </row>
    <row r="26" spans="1:7" x14ac:dyDescent="0.4">
      <c r="A26" s="5">
        <v>741005</v>
      </c>
      <c r="B26" t="s">
        <v>91</v>
      </c>
      <c r="C26" t="s">
        <v>51</v>
      </c>
      <c r="D26">
        <v>1977</v>
      </c>
      <c r="G26" t="str">
        <f>"INSERT INTO Wagon (numberWagon, weight, yearOfEntry, wagonModelId, operator) VALUES ("&amp;A26&amp;",13.8,"&amp;D26&amp;",1278,'PT509017800');"</f>
        <v>INSERT INTO Wagon (numberWagon, weight, yearOfEntry, wagonModelId, operator) VALUES (741005,13.8,1977,1278,'PT509017800');</v>
      </c>
    </row>
    <row r="27" spans="1:7" x14ac:dyDescent="0.4">
      <c r="A27" s="5">
        <v>741006</v>
      </c>
      <c r="B27" t="s">
        <v>91</v>
      </c>
      <c r="C27" t="s">
        <v>51</v>
      </c>
      <c r="D27">
        <v>1977</v>
      </c>
      <c r="G27" t="str">
        <f>"INSERT INTO Wagon (numberWagon, weight, yearOfEntry, wagonModelId, operator) VALUES ("&amp;A27&amp;",13.8,"&amp;D27&amp;",1278,'PT509017800');"</f>
        <v>INSERT INTO Wagon (numberWagon, weight, yearOfEntry, wagonModelId, operator) VALUES (741006,13.8,1977,1278,'PT509017800');</v>
      </c>
    </row>
    <row r="28" spans="1:7" x14ac:dyDescent="0.4">
      <c r="A28" s="5">
        <v>1811010</v>
      </c>
      <c r="B28" t="s">
        <v>92</v>
      </c>
      <c r="C28" t="s">
        <v>51</v>
      </c>
      <c r="D28">
        <v>1977</v>
      </c>
      <c r="G28" t="str">
        <f>"INSERT INTO Wagon (numberWagon, weight, yearOfEntry, wagonModelId, operator) VALUES ("&amp;A28&amp;",29.8 ,"&amp;D28&amp;",1325,'PT509017800');"</f>
        <v>INSERT INTO Wagon (numberWagon, weight, yearOfEntry, wagonModelId, operator) VALUES (1811010,29.8 ,1977,1325,'PT509017800');</v>
      </c>
    </row>
    <row r="29" spans="1:7" x14ac:dyDescent="0.4">
      <c r="A29">
        <v>1811011</v>
      </c>
      <c r="B29" t="s">
        <v>92</v>
      </c>
      <c r="C29" t="s">
        <v>51</v>
      </c>
      <c r="D29">
        <v>1977</v>
      </c>
      <c r="G29" t="str">
        <f>"INSERT INTO Wagon (numberWagon, weight, yearOfEntry, wagonModelId, operator) VALUES ("&amp;A29&amp;",29.8 ,"&amp;D29&amp;",1325,'PT509017800');"</f>
        <v>INSERT INTO Wagon (numberWagon, weight, yearOfEntry, wagonModelId, operator) VALUES (1811011,29.8 ,1977,1325,'PT509017800');</v>
      </c>
    </row>
    <row r="30" spans="1:7" x14ac:dyDescent="0.4">
      <c r="A30">
        <v>1811012</v>
      </c>
      <c r="B30" t="s">
        <v>92</v>
      </c>
      <c r="C30" t="s">
        <v>51</v>
      </c>
      <c r="D30">
        <v>1977</v>
      </c>
      <c r="G30" t="str">
        <f>"INSERT INTO Wagon (numberWagon, weight, yearOfEntry, wagonModelId, operator) VALUES ("&amp;A30&amp;",29.8 ,"&amp;D30&amp;",1325,'PT509017800');"</f>
        <v>INSERT INTO Wagon (numberWagon, weight, yearOfEntry, wagonModelId, operator) VALUES (1811012,29.8 ,1977,1325,'PT509017800');</v>
      </c>
    </row>
    <row r="31" spans="1:7" x14ac:dyDescent="0.4">
      <c r="A31">
        <v>1811013</v>
      </c>
      <c r="B31" t="s">
        <v>92</v>
      </c>
      <c r="C31" t="s">
        <v>51</v>
      </c>
      <c r="D31">
        <v>1977</v>
      </c>
      <c r="G31" t="str">
        <f>"INSERT INTO Wagon (numberWagon, weight, yearOfEntry, wagonModelId, operator) VALUES ("&amp;A31&amp;",29.8 ,"&amp;D31&amp;",1325,'PT509017800');"</f>
        <v>INSERT INTO Wagon (numberWagon, weight, yearOfEntry, wagonModelId, operator) VALUES (1811013,29.8 ,1977,1325,'PT509017800');</v>
      </c>
    </row>
    <row r="32" spans="1:7" x14ac:dyDescent="0.4">
      <c r="A32">
        <v>1811014</v>
      </c>
      <c r="B32" t="s">
        <v>92</v>
      </c>
      <c r="C32" t="s">
        <v>51</v>
      </c>
      <c r="D32">
        <v>1977</v>
      </c>
      <c r="G32" t="str">
        <f>"INSERT INTO Wagon (numberWagon, weight, yearOfEntry, wagonModelId, operator) VALUES ("&amp;A32&amp;",29.8 ,"&amp;D32&amp;",1325,'PT509017800');"</f>
        <v>INSERT INTO Wagon (numberWagon, weight, yearOfEntry, wagonModelId, operator) VALUES (1811014,29.8 ,1977,1325,'PT509017800');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8</vt:i4>
      </vt:variant>
    </vt:vector>
  </HeadingPairs>
  <TitlesOfParts>
    <vt:vector size="8" baseType="lpstr">
      <vt:lpstr>Facility</vt:lpstr>
      <vt:lpstr>Line</vt:lpstr>
      <vt:lpstr>Segment</vt:lpstr>
      <vt:lpstr>Owner</vt:lpstr>
      <vt:lpstr>Operator</vt:lpstr>
      <vt:lpstr>Locomotive</vt:lpstr>
      <vt:lpstr>Wagon Model</vt:lpstr>
      <vt:lpstr>Wagon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Martins</dc:creator>
  <cp:lastModifiedBy>Rafael Filipe Correia Santos</cp:lastModifiedBy>
  <dcterms:created xsi:type="dcterms:W3CDTF">2025-10-12T21:02:47Z</dcterms:created>
  <dcterms:modified xsi:type="dcterms:W3CDTF">2025-10-20T21:34:02Z</dcterms:modified>
</cp:coreProperties>
</file>